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bookViews>
    <workbookView xWindow="1296" yWindow="624" windowWidth="23256" windowHeight="13176" tabRatio="623" activeTab="2"/>
  </bookViews>
  <sheets>
    <sheet name="Intro" sheetId="99" r:id="rId1"/>
    <sheet name="_controls" sheetId="92" r:id="rId2"/>
    <sheet name="Base" sheetId="97" r:id="rId3"/>
    <sheet name="Untitled Sheet" sheetId="112" r:id="rId4"/>
    <sheet name="Annual" sheetId="28" r:id="rId5"/>
  </sheets>
  <functionGroups builtInGroupCount="17"/>
  <definedNames>
    <definedName name="BufferModel" localSheetId="3">'Untitled Sheet'!$N$2</definedName>
    <definedName name="BufferModel">Base!$N$2</definedName>
    <definedName name="CurrSelectedDay" localSheetId="3">'Untitled Sheet'!$AB$3</definedName>
    <definedName name="CurrSelectedDay">Base!$AB$3</definedName>
    <definedName name="DailyExpDate" localSheetId="3">'Untitled Sheet'!$T$6</definedName>
    <definedName name="DailyExpDate">Base!$T$6</definedName>
    <definedName name="DailyExpHeader" localSheetId="3">'Untitled Sheet'!$T$7</definedName>
    <definedName name="DailyExpHeader">Base!$T$7</definedName>
    <definedName name="data1Header" localSheetId="3">'Untitled Sheet'!$AC$4</definedName>
    <definedName name="data1Header">Base!$AC$4</definedName>
    <definedName name="data2Header" localSheetId="3">'Untitled Sheet'!$AD$4</definedName>
    <definedName name="data2Header">Base!$AD$4</definedName>
    <definedName name="DateHeader" localSheetId="3">'Untitled Sheet'!$M$4</definedName>
    <definedName name="DateHeader">Base!$M$4</definedName>
    <definedName name="DayChartHeader" localSheetId="3">'Untitled Sheet'!$T$7</definedName>
    <definedName name="DayChartHeader">Base!$T$7</definedName>
    <definedName name="MoneyBuffer" localSheetId="3">'Untitled Sheet'!$N$5</definedName>
    <definedName name="MoneyBuffer">Base!$N$5</definedName>
    <definedName name="MoneyModel" localSheetId="3">'Untitled Sheet'!$N$2</definedName>
    <definedName name="MoneyModel">Base!$N$2</definedName>
    <definedName name="MonthVal" localSheetId="3">'Untitled Sheet'!$F$1</definedName>
    <definedName name="MonthVal">Base!$F$1</definedName>
    <definedName name="NumDays" localSheetId="3">'Untitled Sheet'!$M$2</definedName>
    <definedName name="NumDays">Base!$M$2</definedName>
    <definedName name="SubmitButtonMsg" localSheetId="3">'Untitled Sheet'!$V$19</definedName>
    <definedName name="SubmitButtonMsg">Base!$V$19</definedName>
    <definedName name="YearVal" localSheetId="3">'Untitled Sheet'!$H$1</definedName>
    <definedName name="YearVal">Base!$H$1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O5" i="97" l="1"/>
  <c r="O5" i="112"/>
  <c r="O6" i="112"/>
  <c r="O7" i="112"/>
  <c r="O8" i="112"/>
  <c r="O9" i="112"/>
  <c r="O22" i="112"/>
  <c r="O36" i="112"/>
  <c r="M35" i="112"/>
  <c r="R35" i="112"/>
  <c r="N35" i="112"/>
  <c r="L35" i="112"/>
  <c r="M34" i="112"/>
  <c r="M33" i="112"/>
  <c r="M32" i="112"/>
  <c r="M31" i="112"/>
  <c r="M30" i="112"/>
  <c r="M29" i="112"/>
  <c r="M28" i="112"/>
  <c r="M27" i="112"/>
  <c r="M26" i="112"/>
  <c r="M25" i="112"/>
  <c r="M24" i="112"/>
  <c r="M23" i="112"/>
  <c r="M22" i="112"/>
  <c r="M21" i="112"/>
  <c r="M20" i="112"/>
  <c r="M19" i="112"/>
  <c r="M18" i="112"/>
  <c r="M17" i="112"/>
  <c r="M16" i="112"/>
  <c r="M15" i="112"/>
  <c r="M14" i="112"/>
  <c r="M13" i="112"/>
  <c r="M12" i="112"/>
  <c r="M11" i="112"/>
  <c r="M10" i="112"/>
  <c r="M9" i="112"/>
  <c r="M8" i="112"/>
  <c r="M7" i="112"/>
  <c r="M6" i="112"/>
  <c r="J5" i="112"/>
  <c r="J7" i="112"/>
  <c r="M2" i="112"/>
  <c r="J12" i="112"/>
  <c r="R2" i="112"/>
  <c r="R5" i="112"/>
  <c r="R6" i="112"/>
  <c r="R7" i="112"/>
  <c r="R8" i="112"/>
  <c r="R9" i="112"/>
  <c r="N5" i="112"/>
  <c r="N10" i="112"/>
  <c r="R10" i="112"/>
  <c r="N11" i="112"/>
  <c r="R11" i="112"/>
  <c r="N12" i="112"/>
  <c r="R12" i="112"/>
  <c r="N13" i="112"/>
  <c r="R13" i="112"/>
  <c r="N14" i="112"/>
  <c r="R14" i="112"/>
  <c r="N15" i="112"/>
  <c r="R15" i="112"/>
  <c r="N16" i="112"/>
  <c r="R16" i="112"/>
  <c r="N17" i="112"/>
  <c r="R17" i="112"/>
  <c r="N18" i="112"/>
  <c r="R18" i="112"/>
  <c r="N19" i="112"/>
  <c r="R19" i="112"/>
  <c r="N20" i="112"/>
  <c r="R20" i="112"/>
  <c r="N21" i="112"/>
  <c r="R21" i="112"/>
  <c r="R22" i="112"/>
  <c r="N23" i="112"/>
  <c r="R23" i="112"/>
  <c r="N24" i="112"/>
  <c r="R24" i="112"/>
  <c r="N25" i="112"/>
  <c r="R25" i="112"/>
  <c r="N26" i="112"/>
  <c r="R26" i="112"/>
  <c r="N27" i="112"/>
  <c r="R27" i="112"/>
  <c r="N28" i="112"/>
  <c r="R28" i="112"/>
  <c r="N29" i="112"/>
  <c r="R29" i="112"/>
  <c r="N30" i="112"/>
  <c r="R30" i="112"/>
  <c r="N31" i="112"/>
  <c r="R31" i="112"/>
  <c r="N32" i="112"/>
  <c r="R32" i="112"/>
  <c r="N33" i="112"/>
  <c r="R33" i="112"/>
  <c r="N34" i="112"/>
  <c r="R34" i="112"/>
  <c r="L34" i="112"/>
  <c r="L33" i="112"/>
  <c r="L32" i="112"/>
  <c r="L31" i="112"/>
  <c r="L30" i="112"/>
  <c r="L29" i="112"/>
  <c r="L28" i="112"/>
  <c r="L27" i="112"/>
  <c r="L26" i="112"/>
  <c r="L25" i="112"/>
  <c r="L24" i="112"/>
  <c r="L23" i="112"/>
  <c r="C23" i="112"/>
  <c r="N22" i="112"/>
  <c r="L22" i="112"/>
  <c r="C22" i="112"/>
  <c r="L21" i="112"/>
  <c r="J21" i="112"/>
  <c r="C21" i="112"/>
  <c r="L20" i="112"/>
  <c r="J20" i="112"/>
  <c r="C20" i="112"/>
  <c r="L19" i="112"/>
  <c r="J19" i="112"/>
  <c r="C19" i="112"/>
  <c r="L18" i="112"/>
  <c r="J18" i="112"/>
  <c r="L17" i="112"/>
  <c r="L16" i="112"/>
  <c r="L15" i="112"/>
  <c r="L14" i="112"/>
  <c r="C14" i="112"/>
  <c r="L13" i="112"/>
  <c r="C13" i="112"/>
  <c r="L12" i="112"/>
  <c r="C12" i="112"/>
  <c r="L11" i="112"/>
  <c r="C11" i="112"/>
  <c r="L10" i="112"/>
  <c r="C10" i="112"/>
  <c r="N9" i="112"/>
  <c r="L9" i="112"/>
  <c r="C9" i="112"/>
  <c r="N8" i="112"/>
  <c r="L8" i="112"/>
  <c r="C8" i="112"/>
  <c r="N7" i="112"/>
  <c r="L7" i="112"/>
  <c r="C7" i="112"/>
  <c r="N6" i="112"/>
  <c r="L6" i="112"/>
  <c r="C6" i="112"/>
  <c r="M5" i="112"/>
  <c r="L5" i="112"/>
  <c r="C5" i="112"/>
  <c r="T4" i="112"/>
  <c r="C4" i="112"/>
  <c r="O6" i="97"/>
  <c r="O9" i="97"/>
  <c r="O8" i="97"/>
  <c r="O7" i="97"/>
  <c r="O22" i="97"/>
  <c r="M35" i="97"/>
  <c r="M34" i="97"/>
  <c r="M33" i="97"/>
  <c r="M32" i="97"/>
  <c r="M31" i="97"/>
  <c r="M30" i="97"/>
  <c r="M29" i="97"/>
  <c r="M28" i="97"/>
  <c r="M27" i="97"/>
  <c r="M26" i="97"/>
  <c r="M25" i="97"/>
  <c r="M24" i="97"/>
  <c r="M23" i="97"/>
  <c r="M22" i="97"/>
  <c r="M21" i="97"/>
  <c r="M20" i="97"/>
  <c r="M19" i="97"/>
  <c r="M18" i="97"/>
  <c r="M17" i="97"/>
  <c r="M16" i="97"/>
  <c r="M15" i="97"/>
  <c r="M14" i="97"/>
  <c r="M13" i="97"/>
  <c r="M12" i="97"/>
  <c r="M11" i="97"/>
  <c r="M10" i="97"/>
  <c r="M9" i="97"/>
  <c r="M8" i="97"/>
  <c r="M7" i="97"/>
  <c r="M6" i="97"/>
  <c r="M2" i="97"/>
  <c r="J12" i="97"/>
  <c r="R2" i="97"/>
  <c r="R5" i="97"/>
  <c r="R6" i="97"/>
  <c r="N5" i="97"/>
  <c r="N7" i="97"/>
  <c r="R7" i="97"/>
  <c r="N8" i="97"/>
  <c r="R8" i="97"/>
  <c r="N9" i="97"/>
  <c r="R9" i="97"/>
  <c r="N10" i="97"/>
  <c r="R10" i="97"/>
  <c r="N11" i="97"/>
  <c r="R11" i="97"/>
  <c r="N12" i="97"/>
  <c r="R12" i="97"/>
  <c r="N13" i="97"/>
  <c r="R13" i="97"/>
  <c r="N14" i="97"/>
  <c r="R14" i="97"/>
  <c r="N15" i="97"/>
  <c r="R15" i="97"/>
  <c r="N16" i="97"/>
  <c r="R16" i="97"/>
  <c r="N17" i="97"/>
  <c r="R17" i="97"/>
  <c r="N18" i="97"/>
  <c r="R18" i="97"/>
  <c r="N19" i="97"/>
  <c r="R19" i="97"/>
  <c r="N20" i="97"/>
  <c r="R20" i="97"/>
  <c r="N21" i="97"/>
  <c r="R21" i="97"/>
  <c r="R22" i="97"/>
  <c r="N23" i="97"/>
  <c r="R23" i="97"/>
  <c r="N24" i="97"/>
  <c r="R24" i="97"/>
  <c r="N25" i="97"/>
  <c r="R25" i="97"/>
  <c r="N26" i="97"/>
  <c r="R26" i="97"/>
  <c r="N27" i="97"/>
  <c r="R27" i="97"/>
  <c r="N28" i="97"/>
  <c r="R28" i="97"/>
  <c r="N29" i="97"/>
  <c r="R29" i="97"/>
  <c r="N30" i="97"/>
  <c r="R30" i="97"/>
  <c r="N31" i="97"/>
  <c r="R31" i="97"/>
  <c r="N32" i="97"/>
  <c r="R32" i="97"/>
  <c r="N33" i="97"/>
  <c r="R33" i="97"/>
  <c r="N34" i="97"/>
  <c r="R34" i="97"/>
  <c r="N35" i="97"/>
  <c r="R35" i="97"/>
  <c r="J5" i="97"/>
  <c r="J7" i="97"/>
  <c r="N22" i="97"/>
  <c r="T4" i="97"/>
  <c r="N6" i="97"/>
  <c r="M5" i="97"/>
  <c r="J20" i="97"/>
  <c r="L5" i="97"/>
  <c r="L6" i="97"/>
  <c r="L7" i="97"/>
  <c r="L8" i="97"/>
  <c r="L9" i="97"/>
  <c r="L10" i="97"/>
  <c r="L11" i="97"/>
  <c r="L12" i="97"/>
  <c r="L13" i="97"/>
  <c r="L14" i="97"/>
  <c r="L15" i="97"/>
  <c r="L16" i="97"/>
  <c r="L17" i="97"/>
  <c r="L18" i="97"/>
  <c r="L19" i="97"/>
  <c r="L20" i="97"/>
  <c r="L21" i="97"/>
  <c r="L22" i="97"/>
  <c r="L23" i="97"/>
  <c r="L24" i="97"/>
  <c r="L25" i="97"/>
  <c r="L26" i="97"/>
  <c r="L27" i="97"/>
  <c r="L28" i="97"/>
  <c r="L29" i="97"/>
  <c r="L30" i="97"/>
  <c r="L31" i="97"/>
  <c r="L32" i="97"/>
  <c r="L33" i="97"/>
  <c r="L34" i="97"/>
  <c r="L35" i="97"/>
  <c r="C23" i="97"/>
  <c r="C22" i="97"/>
  <c r="C20" i="97"/>
  <c r="C21" i="97"/>
  <c r="C19" i="97"/>
  <c r="C4" i="97"/>
  <c r="C14" i="97"/>
  <c r="C5" i="97"/>
  <c r="C6" i="97"/>
  <c r="C7" i="97"/>
  <c r="C8" i="97"/>
  <c r="C9" i="97"/>
  <c r="C10" i="97"/>
  <c r="C11" i="97"/>
  <c r="C12" i="97"/>
  <c r="C13" i="97"/>
  <c r="O36" i="97"/>
  <c r="J18" i="97"/>
  <c r="J19" i="97"/>
  <c r="J21" i="97"/>
</calcChain>
</file>

<file path=xl/comments1.xml><?xml version="1.0" encoding="utf-8"?>
<comments xmlns="http://schemas.openxmlformats.org/spreadsheetml/2006/main">
  <authors>
    <author>Meehyun Jang</author>
    <author>Microsoft Office User</author>
  </authors>
  <commentList>
    <comment ref="R2" authorId="0">
      <text>
        <r>
          <rPr>
            <sz val="9"/>
            <color indexed="81"/>
            <rFont val="Tahoma"/>
            <family val="2"/>
          </rPr>
          <t>This is your money pool. This is divided into money buffers and then distributed.</t>
        </r>
      </text>
    </comment>
    <comment ref="T2" authorId="1">
      <text>
        <r>
          <rPr>
            <sz val="10"/>
            <color indexed="81"/>
            <rFont val="Calibri"/>
            <family val="2"/>
          </rPr>
          <t xml:space="preserve">This is how much money buffer piled up so far!
</t>
        </r>
      </text>
    </comment>
    <comment ref="Q4" authorId="0">
      <text>
        <r>
          <rPr>
            <sz val="9"/>
            <color indexed="81"/>
            <rFont val="Tahoma"/>
            <family val="2"/>
          </rPr>
          <t>Click on the radio buttons on this row to see details of expense of this day.</t>
        </r>
      </text>
    </comment>
    <comment ref="R4" authorId="1">
      <text>
        <r>
          <rPr>
            <sz val="10"/>
            <color indexed="81"/>
            <rFont val="Calibri"/>
            <family val="2"/>
          </rPr>
          <t>(Previous day's remaining) - (Buffer). If "Used" value is asterisk ('*'), assumes all daily buffer is spent</t>
        </r>
      </text>
    </comment>
    <comment ref="J12" authorId="0">
      <text>
        <r>
          <rPr>
            <sz val="9"/>
            <color indexed="81"/>
            <rFont val="Tahoma"/>
            <family val="2"/>
          </rPr>
          <t>If you reserve this suggested amount, you will have the daily buffer amount shown in "Model Daily Buffer"</t>
        </r>
      </text>
    </comment>
    <comment ref="J21" authorId="0">
      <text>
        <r>
          <rPr>
            <sz val="9"/>
            <color indexed="81"/>
            <rFont val="Tahoma"/>
            <family val="2"/>
          </rPr>
          <t>This is your money pool. This is divided into money buffers and then distributed.</t>
        </r>
      </text>
    </comment>
  </commentList>
</comments>
</file>

<file path=xl/comments2.xml><?xml version="1.0" encoding="utf-8"?>
<comments xmlns="http://schemas.openxmlformats.org/spreadsheetml/2006/main">
  <authors>
    <author>Microsoft Office User</author>
  </authors>
  <commentList>
    <comment ref="T2" authorId="0">
      <text>
        <r>
          <rPr>
            <sz val="10"/>
            <color indexed="81"/>
            <rFont val="Calibri"/>
            <family val="2"/>
          </rPr>
          <t xml:space="preserve">This is how much money buffer piled up so far!
</t>
        </r>
      </text>
    </comment>
    <comment ref="R4" authorId="0">
      <text>
        <r>
          <rPr>
            <sz val="10"/>
            <color indexed="81"/>
            <rFont val="Calibri"/>
            <family val="2"/>
          </rPr>
          <t>(Previous day's remaining) - (Buffer). If "Used" value is asterisk ('*'), assumes all daily buffer is spent</t>
        </r>
      </text>
    </comment>
  </commentList>
</comments>
</file>

<file path=xl/comments3.xml><?xml version="1.0" encoding="utf-8"?>
<comments xmlns="http://schemas.openxmlformats.org/spreadsheetml/2006/main">
  <authors>
    <author>Microsoft Office User</author>
  </authors>
  <commentList>
    <comment ref="D5" authorId="0">
      <text>
        <r>
          <rPr>
            <b/>
            <sz val="10"/>
            <color indexed="81"/>
            <rFont val="Calibri"/>
            <family val="2"/>
          </rPr>
          <t>This may have gotten canceled due to card change</t>
        </r>
      </text>
    </comment>
    <comment ref="D6" authorId="0">
      <text>
        <r>
          <rPr>
            <b/>
            <sz val="10"/>
            <color indexed="81"/>
            <rFont val="Calibri"/>
            <family val="2"/>
          </rPr>
          <t>Evernote Plus</t>
        </r>
      </text>
    </comment>
  </commentList>
</comments>
</file>

<file path=xl/sharedStrings.xml><?xml version="1.0" encoding="utf-8"?>
<sst xmlns="http://schemas.openxmlformats.org/spreadsheetml/2006/main" count="265" uniqueCount="129">
  <si>
    <t>Loan2</t>
  </si>
  <si>
    <t>Loan1</t>
  </si>
  <si>
    <t>Electric</t>
  </si>
  <si>
    <t>Date</t>
  </si>
  <si>
    <t>Used</t>
  </si>
  <si>
    <t>Days</t>
  </si>
  <si>
    <t>*</t>
    <phoneticPr fontId="14" type="noConversion"/>
  </si>
  <si>
    <t>Amazon Prime</t>
  </si>
  <si>
    <t>NewScientist</t>
  </si>
  <si>
    <t>Evernote</t>
  </si>
  <si>
    <t>??</t>
  </si>
  <si>
    <t>10/14 [Oct-14]</t>
  </si>
  <si>
    <t>Annual Expenses</t>
  </si>
  <si>
    <t>Barns and Noble</t>
  </si>
  <si>
    <t>Trello</t>
  </si>
  <si>
    <t>04/18 [Apr-18]</t>
  </si>
  <si>
    <t>07/06 [Jul-6]</t>
  </si>
  <si>
    <t>03/08 [Mar-8]</t>
  </si>
  <si>
    <t>NumDays</t>
    <phoneticPr fontId="14" type="noConversion"/>
  </si>
  <si>
    <t>MonthVal</t>
  </si>
  <si>
    <t>/</t>
  </si>
  <si>
    <t>Buffer</t>
  </si>
  <si>
    <t>Remaining</t>
  </si>
  <si>
    <t>Rent</t>
  </si>
  <si>
    <t>Income</t>
  </si>
  <si>
    <t>ExpenseType</t>
  </si>
  <si>
    <t>Au</t>
  </si>
  <si>
    <t>Ma</t>
  </si>
  <si>
    <t>Status</t>
  </si>
  <si>
    <t>Internet</t>
  </si>
  <si>
    <t>Month:</t>
  </si>
  <si>
    <t>Icons</t>
  </si>
  <si>
    <t>Patreon</t>
    <phoneticPr fontId="14" type="noConversion"/>
  </si>
  <si>
    <t>Bus Pass</t>
    <phoneticPr fontId="14" type="noConversion"/>
  </si>
  <si>
    <t>Netflix</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</si>
  <si>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</si>
  <si>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</si>
  <si>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</si>
  <si>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</si>
  <si>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</si>
  <si>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</si>
  <si>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</si>
  <si>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</si>
  <si>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</si>
  <si>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</si>
  <si>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</si>
  <si>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</si>
  <si>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</si>
  <si>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</si>
  <si>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</si>
  <si>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</si>
  <si>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</si>
  <si>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</si>
  <si>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</si>
  <si>
    <t>★</t>
  </si>
  <si>
    <t>🛒</t>
  </si>
  <si>
    <t>⛽</t>
  </si>
  <si>
    <t>*</t>
  </si>
  <si>
    <t>Reminders</t>
  </si>
  <si>
    <t>Mark</t>
  </si>
  <si>
    <t>!</t>
  </si>
  <si>
    <t>o</t>
  </si>
  <si>
    <t>Day</t>
  </si>
  <si>
    <t>Total spent this month:</t>
  </si>
  <si>
    <t>Instruction on Github</t>
  </si>
  <si>
    <t>https://github.com/blacksandbox/money-buffer</t>
  </si>
  <si>
    <t>sandcubed@gmail.com</t>
  </si>
  <si>
    <t xml:space="preserve">Please do not redistribute without permission. </t>
  </si>
  <si>
    <t>Me and my pet succulent will be sad. :(</t>
  </si>
  <si>
    <t>Created by</t>
  </si>
  <si>
    <t xml:space="preserve">Money Buffer Sheet </t>
  </si>
  <si>
    <t>Car</t>
    <phoneticPr fontId="14" type="noConversion"/>
  </si>
  <si>
    <t>Total Buffered</t>
    <phoneticPr fontId="14" type="noConversion"/>
  </si>
  <si>
    <t>Note</t>
    <phoneticPr fontId="14" type="noConversion"/>
  </si>
  <si>
    <t>+</t>
    <phoneticPr fontId="14" type="noConversion"/>
  </si>
  <si>
    <t>$</t>
    <phoneticPr fontId="14" type="noConversion"/>
  </si>
  <si>
    <t>💸</t>
  </si>
  <si>
    <t>Monthly Expense</t>
    <phoneticPr fontId="14" type="noConversion"/>
  </si>
  <si>
    <t>★</t>
    <phoneticPr fontId="14" type="noConversion"/>
  </si>
  <si>
    <t>*</t>
    <phoneticPr fontId="14" type="noConversion"/>
  </si>
  <si>
    <t>➕</t>
  </si>
  <si>
    <t>➖</t>
  </si>
  <si>
    <t>💰 Usable fund</t>
    <phoneticPr fontId="14" type="noConversion"/>
  </si>
  <si>
    <t>Expense</t>
    <phoneticPr fontId="14" type="noConversion"/>
  </si>
  <si>
    <t>Reserve</t>
    <phoneticPr fontId="14" type="noConversion"/>
  </si>
  <si>
    <t>(Suggested)</t>
    <phoneticPr fontId="14" type="noConversion"/>
  </si>
  <si>
    <t>Add</t>
    <phoneticPr fontId="14" type="noConversion"/>
  </si>
  <si>
    <t>?</t>
    <phoneticPr fontId="14" type="noConversion"/>
  </si>
  <si>
    <t>?</t>
    <phoneticPr fontId="14" type="noConversion"/>
  </si>
  <si>
    <t>(➕) Add</t>
    <phoneticPr fontId="14" type="noConversion"/>
  </si>
  <si>
    <t>♦ Buffer Pool</t>
    <phoneticPr fontId="14" type="noConversion"/>
  </si>
  <si>
    <t>Model Daily Buffer</t>
    <phoneticPr fontId="14" type="noConversion"/>
  </si>
  <si>
    <t>(➖) Subtract</t>
    <phoneticPr fontId="14" type="noConversion"/>
  </si>
  <si>
    <t>➖</t>
    <phoneticPr fontId="14" type="noConversion"/>
  </si>
  <si>
    <t>♦ Calc Buffer Pool</t>
    <phoneticPr fontId="14" type="noConversion"/>
  </si>
  <si>
    <t>Data</t>
  </si>
  <si>
    <t>Controls</t>
  </si>
  <si>
    <t>+</t>
  </si>
  <si>
    <t>Appointment</t>
  </si>
  <si>
    <t>Hard deadline</t>
  </si>
  <si>
    <t>Spent</t>
  </si>
  <si>
    <t>Comment</t>
  </si>
  <si>
    <t>curr</t>
  </si>
  <si>
    <t>day</t>
  </si>
  <si>
    <t>data1</t>
  </si>
  <si>
    <t>data2</t>
  </si>
  <si>
    <t>*</t>
    <phoneticPr fontId="14" type="noConversion"/>
  </si>
  <si>
    <t>*</t>
    <phoneticPr fontId="14" type="noConversion"/>
  </si>
  <si>
    <t>Drew some lucas</t>
    <phoneticPr fontId="14" type="noConversion"/>
  </si>
  <si>
    <t>*</t>
    <phoneticPr fontId="14" type="noConversion"/>
  </si>
  <si>
    <t>*</t>
    <phoneticPr fontId="14" type="noConversion"/>
  </si>
  <si>
    <t>Chipotle</t>
  </si>
  <si>
    <t>Inay is dumb</t>
  </si>
  <si>
    <t>Yogay is too dossal</t>
  </si>
  <si>
    <t>Ini is eejul</t>
  </si>
  <si>
    <t>Yogi's byproduct</t>
  </si>
  <si>
    <t>3.45+0.5</t>
    <phoneticPr fontId="14" type="noConversion"/>
  </si>
  <si>
    <t>On 2017-11-01</t>
    <phoneticPr fontId="14" type="noConversion"/>
  </si>
  <si>
    <t>7+1.5</t>
    <phoneticPr fontId="14" type="noConversion"/>
  </si>
  <si>
    <t>::+::It's my party and I cry if I want to</t>
    <phoneticPr fontId="14" type="noConversion"/>
  </si>
  <si>
    <t>*</t>
    <phoneticPr fontId="14" type="noConversion"/>
  </si>
  <si>
    <t>Dropped a dime</t>
  </si>
  <si>
    <t>On 2017-11-02</t>
    <phoneticPr fontId="14" type="noConversion"/>
  </si>
  <si>
    <t>Ini is eejul::+::Yogi's byproduct</t>
    <phoneticPr fontId="14" type="noConversion"/>
  </si>
  <si>
    <t>10.5+1.35+2.65+0.1</t>
    <phoneticPr fontId="14" type="noConversion"/>
  </si>
  <si>
    <t>Chipotle::+::Inay is dumb::+::Yogay is too dossal::+::Dropped a dime</t>
    <phoneticPr fontId="14" type="noConversion"/>
  </si>
  <si>
    <t>v2.2</t>
    <phoneticPr fontId="14" type="noConversion"/>
  </si>
  <si>
    <t>*</t>
    <phoneticPr fontId="14" type="noConversion"/>
  </si>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</sst>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26" formatCode="\$#,##0.00_);[Red]\(\$#,##0.00\)"/>
    <numFmt numFmtId="176" formatCode="&quot;$&quot;#,##0_);[Red]\(&quot;$&quot;#,##0\)"/>
    <numFmt numFmtId="177" formatCode="&quot;$&quot;#,##0.00_);[Red]\(&quot;$&quot;#,##0.00\)"/>
    <numFmt numFmtId="178" formatCode="_(&quot;$&quot;* #,##0.00_);_(&quot;$&quot;* \(#,##0.00\);_(&quot;$&quot;* &quot;-&quot;??_);_(@_)"/>
    <numFmt numFmtId="179" formatCode="&quot;$&quot;#,##0.00"/>
    <numFmt numFmtId="180" formatCode="0_);[Red]\(0\)"/>
    <numFmt numFmtId="181" formatCode="0.0_);[Red]\(0.0\)"/>
    <numFmt numFmtId="184" formatCode="0.00_);[Red]\(0.00\)"/>
  </numFmts>
  <fonts count="92">
    <font>
      <sz val="11"/>
      <color theme="1"/>
      <name val="맑은 고딕"/>
      <family val="2"/>
      <scheme val="minor"/>
    </font>
    <font>
      <b/>
      <sz val="11"/>
      <color theme="1"/>
      <name val="맑은 고딕"/>
      <family val="2"/>
      <scheme val="minor"/>
    </font>
    <font>
      <b/>
      <sz val="11"/>
      <color rgb="FF0070C0"/>
      <name val="맑은 고딕"/>
      <family val="2"/>
      <scheme val="minor"/>
    </font>
    <font>
      <sz val="11"/>
      <color theme="0" tint="-0.499984740745262"/>
      <name val="맑은 고딕"/>
      <family val="2"/>
      <scheme val="minor"/>
    </font>
    <font>
      <b/>
      <sz val="11"/>
      <color theme="8" tint="-0.249977111117893"/>
      <name val="맑은 고딕"/>
      <family val="2"/>
      <scheme val="minor"/>
    </font>
    <font>
      <sz val="11"/>
      <color rgb="FF00B050"/>
      <name val="맑은 고딕"/>
      <family val="2"/>
      <scheme val="minor"/>
    </font>
    <font>
      <sz val="11"/>
      <name val="맑은 고딕"/>
      <family val="2"/>
      <scheme val="minor"/>
    </font>
    <font>
      <b/>
      <sz val="11"/>
      <color theme="0" tint="-0.499984740745262"/>
      <name val="맑은 고딕"/>
      <family val="2"/>
      <scheme val="minor"/>
    </font>
    <font>
      <sz val="11"/>
      <color theme="9" tint="-0.249977111117893"/>
      <name val="맑은 고딕"/>
      <family val="2"/>
      <scheme val="minor"/>
    </font>
    <font>
      <b/>
      <sz val="11"/>
      <color rgb="FF7030A0"/>
      <name val="맑은 고딕"/>
      <family val="2"/>
      <scheme val="minor"/>
    </font>
    <font>
      <b/>
      <sz val="11"/>
      <color theme="5" tint="-0.249977111117893"/>
      <name val="맑은 고딕"/>
      <family val="2"/>
      <scheme val="minor"/>
    </font>
    <font>
      <b/>
      <sz val="11"/>
      <color theme="6" tint="-0.249977111117893"/>
      <name val="맑은 고딕"/>
      <family val="2"/>
      <scheme val="minor"/>
    </font>
    <font>
      <sz val="11"/>
      <color theme="7"/>
      <name val="맑은 고딕"/>
      <family val="2"/>
      <scheme val="minor"/>
    </font>
    <font>
      <sz val="11"/>
      <color rgb="FFFF0000"/>
      <name val="맑은 고딕"/>
      <family val="2"/>
      <scheme val="minor"/>
    </font>
    <font>
      <sz val="8"/>
      <name val="맑은 고딕"/>
      <family val="3"/>
      <charset val="129"/>
      <scheme val="minor"/>
    </font>
    <font>
      <sz val="11"/>
      <color theme="8"/>
      <name val="맑은 고딕"/>
      <family val="2"/>
      <scheme val="minor"/>
    </font>
    <font>
      <u/>
      <sz val="11"/>
      <color theme="10"/>
      <name val="맑은 고딕"/>
      <family val="2"/>
      <scheme val="minor"/>
    </font>
    <font>
      <u/>
      <sz val="11"/>
      <color theme="11"/>
      <name val="맑은 고딕"/>
      <family val="2"/>
      <scheme val="minor"/>
    </font>
    <font>
      <sz val="8"/>
      <color rgb="FF333333"/>
      <name val="Arial"/>
      <family val="2"/>
    </font>
    <font>
      <b/>
      <sz val="11"/>
      <color theme="1"/>
      <name val="맑은 고딕"/>
      <family val="3"/>
      <charset val="129"/>
      <scheme val="minor"/>
    </font>
    <font>
      <b/>
      <sz val="11"/>
      <color theme="5" tint="-0.499984740745262"/>
      <name val="맑은 고딕"/>
      <family val="3"/>
      <charset val="129"/>
      <scheme val="minor"/>
    </font>
    <font>
      <b/>
      <sz val="11"/>
      <color rgb="FFFF7C80"/>
      <name val="맑은 고딕"/>
      <family val="3"/>
      <charset val="129"/>
      <scheme val="minor"/>
    </font>
    <font>
      <b/>
      <sz val="11"/>
      <color rgb="FF236B47"/>
      <name val="맑은 고딕"/>
      <family val="3"/>
      <charset val="129"/>
      <scheme val="minor"/>
    </font>
    <font>
      <sz val="11"/>
      <color theme="1"/>
      <name val="맑은 고딕"/>
      <family val="3"/>
      <charset val="129"/>
      <scheme val="minor"/>
    </font>
    <font>
      <b/>
      <sz val="11"/>
      <color theme="0" tint="-0.249977111117893"/>
      <name val="맑은 고딕"/>
      <family val="3"/>
      <charset val="129"/>
      <scheme val="minor"/>
    </font>
    <font>
      <sz val="11"/>
      <color theme="1" tint="0.499984740745262"/>
      <name val="맑은 고딕"/>
      <family val="2"/>
      <scheme val="minor"/>
    </font>
    <font>
      <sz val="16"/>
      <color theme="1"/>
      <name val="맑은 고딕"/>
      <family val="2"/>
      <scheme val="minor"/>
    </font>
    <font>
      <b/>
      <sz val="16"/>
      <color theme="1"/>
      <name val="맑은 고딕"/>
      <family val="2"/>
      <scheme val="minor"/>
    </font>
    <font>
      <sz val="16"/>
      <color rgb="FFFF7C80"/>
      <name val="맑은 고딕"/>
      <family val="2"/>
      <scheme val="minor"/>
    </font>
    <font>
      <sz val="11"/>
      <color theme="0" tint="-0.249977111117893"/>
      <name val="맑은 고딕"/>
      <family val="2"/>
      <scheme val="minor"/>
    </font>
    <font>
      <b/>
      <sz val="10"/>
      <color indexed="81"/>
      <name val="Calibri"/>
      <family val="2"/>
    </font>
    <font>
      <sz val="10"/>
      <color indexed="81"/>
      <name val="Calibri"/>
      <family val="2"/>
    </font>
    <font>
      <sz val="11"/>
      <color rgb="FFFF7C80"/>
      <name val="맑은 고딕"/>
      <family val="2"/>
      <scheme val="minor"/>
    </font>
    <font>
      <sz val="24"/>
      <color theme="1"/>
      <name val="Century Gothic"/>
      <family val="2"/>
    </font>
    <font>
      <sz val="20"/>
      <color theme="1" tint="0.34998626667073579"/>
      <name val="Century Gothic"/>
      <family val="2"/>
    </font>
    <font>
      <sz val="16"/>
      <color theme="0" tint="-0.499984740745262"/>
      <name val="Century Gothic"/>
      <family val="2"/>
    </font>
    <font>
      <sz val="20"/>
      <color theme="0" tint="-0.499984740745262"/>
      <name val="Century Gothic"/>
      <family val="2"/>
    </font>
    <font>
      <sz val="11"/>
      <color rgb="FF0070C0"/>
      <name val="Century Gothic"/>
      <family val="2"/>
    </font>
    <font>
      <sz val="11"/>
      <color theme="8" tint="-0.249977111117893"/>
      <name val="Consolas"/>
      <family val="3"/>
    </font>
    <font>
      <sz val="11"/>
      <color theme="4" tint="-0.249977111117893"/>
      <name val="Consolas"/>
      <family val="3"/>
    </font>
    <font>
      <b/>
      <sz val="11"/>
      <color theme="1" tint="0.499984740745262"/>
      <name val="맑은 고딕"/>
      <family val="2"/>
      <scheme val="minor"/>
    </font>
    <font>
      <sz val="11"/>
      <name val="Consolas"/>
      <family val="3"/>
    </font>
    <font>
      <sz val="14"/>
      <color rgb="FF92D050"/>
      <name val="Century Gothic"/>
      <family val="2"/>
    </font>
    <font>
      <sz val="14"/>
      <color rgb="FF00B050"/>
      <name val="Consolas"/>
      <family val="3"/>
    </font>
    <font>
      <sz val="11"/>
      <color theme="1"/>
      <name val="Century Gothic"/>
      <family val="2"/>
    </font>
    <font>
      <sz val="11"/>
      <color theme="6" tint="-0.499984740745262"/>
      <name val="Century Gothic"/>
      <family val="2"/>
    </font>
    <font>
      <sz val="11"/>
      <color theme="2" tint="-0.499984740745262"/>
      <name val="맑은 고딕"/>
      <family val="2"/>
      <scheme val="minor"/>
    </font>
    <font>
      <sz val="11"/>
      <color theme="1" tint="0.499984740745262"/>
      <name val="Consolas"/>
      <family val="3"/>
    </font>
    <font>
      <sz val="11"/>
      <color theme="1"/>
      <name val="Consolas"/>
      <family val="3"/>
    </font>
    <font>
      <sz val="11"/>
      <color theme="1" tint="0.34998626667073579"/>
      <name val="Century Gothic"/>
      <family val="2"/>
    </font>
    <font>
      <sz val="12"/>
      <color rgb="FFFF7C80"/>
      <name val="맑은 고딕"/>
      <family val="2"/>
      <scheme val="minor"/>
    </font>
    <font>
      <sz val="11"/>
      <color theme="1" tint="0.249977111117893"/>
      <name val="Century Gothic"/>
      <family val="2"/>
    </font>
    <font>
      <sz val="11"/>
      <name val="맑은 고딕"/>
      <family val="3"/>
      <charset val="129"/>
      <scheme val="minor"/>
    </font>
    <font>
      <sz val="12"/>
      <name val="맑은 고딕"/>
      <family val="2"/>
      <scheme val="minor"/>
    </font>
    <font>
      <sz val="12"/>
      <name val="Batang"/>
      <family val="1"/>
      <charset val="129"/>
    </font>
    <font>
      <sz val="12"/>
      <name val="맑은 고딕"/>
      <family val="3"/>
      <charset val="129"/>
      <scheme val="minor"/>
    </font>
    <font>
      <sz val="11"/>
      <color theme="0" tint="-4.9989318521683403E-2"/>
      <name val="맑은 고딕"/>
      <family val="3"/>
      <charset val="129"/>
      <scheme val="minor"/>
    </font>
    <font>
      <sz val="11"/>
      <color rgb="FF000000"/>
      <name val="Consolas"/>
      <family val="3"/>
    </font>
    <font>
      <sz val="11"/>
      <color indexed="205"/>
      <name val="Century Gothic"/>
      <family val="2"/>
    </font>
    <font>
      <sz val="11"/>
      <color theme="1" tint="0.14999847407452621"/>
      <name val="맑은 고딕"/>
      <family val="2"/>
      <scheme val="minor"/>
    </font>
    <font>
      <u/>
      <sz val="11"/>
      <color theme="10"/>
      <name val="Century Gothic"/>
      <family val="1"/>
    </font>
    <font>
      <sz val="16"/>
      <color theme="1"/>
      <name val="Century Gothic"/>
      <family val="2"/>
    </font>
    <font>
      <u/>
      <sz val="12"/>
      <color theme="10"/>
      <name val="Century Gothic"/>
      <family val="1"/>
    </font>
    <font>
      <sz val="11"/>
      <color rgb="FFCC0066"/>
      <name val="맑은 고딕"/>
      <family val="2"/>
      <scheme val="minor"/>
    </font>
    <font>
      <sz val="18"/>
      <color theme="1"/>
      <name val="Century Gothic"/>
      <family val="2"/>
    </font>
    <font>
      <sz val="18"/>
      <color theme="0" tint="-0.499984740745262"/>
      <name val="Century Gothic"/>
      <family val="2"/>
    </font>
    <font>
      <sz val="11"/>
      <color theme="0" tint="-0.34998626667073579"/>
      <name val="맑은 고딕"/>
      <family val="2"/>
      <scheme val="minor"/>
    </font>
    <font>
      <sz val="11"/>
      <color rgb="FFCC0066"/>
      <name val="맑은 고딕"/>
      <family val="3"/>
      <charset val="129"/>
      <scheme val="minor"/>
    </font>
    <font>
      <sz val="11"/>
      <color theme="5" tint="-0.249977111117893"/>
      <name val="맑은 고딕"/>
      <family val="2"/>
      <scheme val="minor"/>
    </font>
    <font>
      <sz val="11"/>
      <color theme="5" tint="-0.249977111117893"/>
      <name val="맑은 고딕"/>
      <family val="3"/>
      <charset val="129"/>
      <scheme val="minor"/>
    </font>
    <font>
      <b/>
      <sz val="11"/>
      <color theme="5" tint="-0.249977111117893"/>
      <name val="맑은 고딕"/>
      <family val="3"/>
      <charset val="129"/>
      <scheme val="minor"/>
    </font>
    <font>
      <b/>
      <sz val="11"/>
      <color theme="6" tint="-0.249977111117893"/>
      <name val="맑은 고딕"/>
      <family val="3"/>
      <charset val="129"/>
      <scheme val="minor"/>
    </font>
    <font>
      <sz val="11"/>
      <color theme="5"/>
      <name val="맑은 고딕"/>
      <family val="2"/>
      <scheme val="minor"/>
    </font>
    <font>
      <sz val="11"/>
      <color theme="6"/>
      <name val="맑은 고딕"/>
      <family val="2"/>
      <scheme val="minor"/>
    </font>
    <font>
      <sz val="11"/>
      <color theme="6" tint="-0.249977111117893"/>
      <name val="맑은 고딕"/>
      <family val="2"/>
      <scheme val="minor"/>
    </font>
    <font>
      <b/>
      <sz val="11"/>
      <color theme="5" tint="-0.249977111117893"/>
      <name val="Consolas"/>
      <family val="3"/>
    </font>
    <font>
      <b/>
      <sz val="11"/>
      <color theme="5" tint="-0.499984740745262"/>
      <name val="맑은 고딕"/>
      <family val="2"/>
      <scheme val="minor"/>
    </font>
    <font>
      <b/>
      <sz val="11"/>
      <color theme="7"/>
      <name val="Consolas"/>
      <family val="3"/>
    </font>
    <font>
      <b/>
      <sz val="11"/>
      <color theme="7"/>
      <name val="맑은 고딕"/>
      <family val="2"/>
      <scheme val="minor"/>
    </font>
    <font>
      <b/>
      <sz val="11"/>
      <color theme="7"/>
      <name val="맑은 고딕"/>
      <family val="3"/>
      <charset val="129"/>
      <scheme val="minor"/>
    </font>
    <font>
      <b/>
      <sz val="11"/>
      <color theme="0" tint="-0.499984740745262"/>
      <name val="Consolas"/>
      <family val="3"/>
    </font>
    <font>
      <b/>
      <sz val="11"/>
      <color theme="0" tint="-0.499984740745262"/>
      <name val="맑은 고딕"/>
      <family val="3"/>
      <charset val="129"/>
      <scheme val="minor"/>
    </font>
    <font>
      <sz val="20"/>
      <color theme="1"/>
      <name val="Century Gothic"/>
      <family val="1"/>
    </font>
    <font>
      <sz val="14"/>
      <color rgb="FF236B47"/>
      <name val="Century Gothic"/>
      <family val="2"/>
    </font>
    <font>
      <b/>
      <sz val="11"/>
      <color rgb="FF0070C0"/>
      <name val="맑은 고딕"/>
      <family val="3"/>
      <charset val="129"/>
      <scheme val="minor"/>
    </font>
    <font>
      <b/>
      <sz val="12"/>
      <color rgb="FF333333"/>
      <name val="Century Gothic"/>
      <family val="2"/>
    </font>
    <font>
      <sz val="11"/>
      <color rgb="FF50575E"/>
      <name val="Century Gothic"/>
      <family val="2"/>
    </font>
    <font>
      <b/>
      <sz val="11"/>
      <color theme="0" tint="-0.14999847407452621"/>
      <name val="Century Gothic"/>
      <family val="2"/>
    </font>
    <font>
      <b/>
      <sz val="11"/>
      <color rgb="FF00B050"/>
      <name val="Century Gothic"/>
      <family val="2"/>
    </font>
    <font>
      <b/>
      <sz val="11"/>
      <color theme="1"/>
      <name val="Century Gothic"/>
      <family val="2"/>
    </font>
    <font>
      <b/>
      <sz val="11"/>
      <color rgb="FFC00000"/>
      <name val="맑은 고딕"/>
      <family val="3"/>
      <charset val="129"/>
      <scheme val="minor"/>
    </font>
    <font>
      <sz val="9"/>
      <color indexed="81"/>
      <name val="Tahoma"/>
      <family val="2"/>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s>
  <borders count="34">
    <border>
      <left/>
      <right/>
      <top/>
      <bottom/>
      <diagonal/>
    </border>
    <border>
      <left/>
      <right/>
      <top/>
      <bottom style="medium">
        <color theme="3" tint="0.39997558519241921"/>
      </bottom>
      <diagonal/>
    </border>
    <border>
      <left style="thin">
        <color theme="6"/>
      </left>
      <right/>
      <top/>
      <bottom/>
      <diagonal/>
    </border>
    <border>
      <left style="thin">
        <color theme="6"/>
      </left>
      <right/>
      <top style="thin">
        <color theme="6"/>
      </top>
      <bottom/>
      <diagonal/>
    </border>
    <border>
      <left style="thin">
        <color theme="6"/>
      </left>
      <right/>
      <top/>
      <bottom style="thin">
        <color theme="6"/>
      </bottom>
      <diagonal/>
    </border>
    <border>
      <left style="medium">
        <color theme="3" tint="0.39997558519241921"/>
      </left>
      <right/>
      <top/>
      <bottom/>
      <diagonal/>
    </border>
    <border>
      <left/>
      <right/>
      <top/>
      <bottom style="hair">
        <color theme="3" tint="0.39997558519241921"/>
      </bottom>
      <diagonal/>
    </border>
    <border>
      <left/>
      <right/>
      <top style="hair">
        <color theme="3" tint="0.39997558519241921"/>
      </top>
      <bottom style="hair">
        <color theme="3" tint="0.39997558519241921"/>
      </bottom>
      <diagonal/>
    </border>
    <border>
      <left/>
      <right/>
      <top style="medium">
        <color theme="0" tint="-0.499984740745262"/>
      </top>
      <bottom/>
      <diagonal/>
    </border>
    <border>
      <left/>
      <right/>
      <top style="double">
        <color theme="0" tint="-0.249977111117893"/>
      </top>
      <bottom/>
      <diagonal/>
    </border>
    <border>
      <left/>
      <right style="medium">
        <color theme="0" tint="-0.249977111117893"/>
      </right>
      <top/>
      <bottom style="hair">
        <color theme="3" tint="0.39997558519241921"/>
      </bottom>
      <diagonal/>
    </border>
    <border>
      <left/>
      <right style="medium">
        <color theme="3" tint="0.39997558519241921"/>
      </right>
      <top/>
      <bottom/>
      <diagonal/>
    </border>
    <border>
      <left style="medium">
        <color theme="3" tint="0.39997558519241921"/>
      </left>
      <right style="medium">
        <color theme="0" tint="-0.249977111117893"/>
      </right>
      <top style="hair">
        <color theme="3" tint="0.39997558519241921"/>
      </top>
      <bottom style="hair">
        <color theme="3" tint="0.39997558519241921"/>
      </bottom>
      <diagonal/>
    </border>
    <border>
      <left style="thin">
        <color theme="0" tint="-0.34998626667073579"/>
      </left>
      <right/>
      <top/>
      <bottom/>
      <diagonal/>
    </border>
    <border>
      <left style="medium">
        <color theme="3" tint="0.39997558519241921"/>
      </left>
      <right style="medium">
        <color theme="5" tint="0.39997558519241921"/>
      </right>
      <top/>
      <bottom/>
      <diagonal/>
    </border>
    <border>
      <left style="medium">
        <color theme="5" tint="0.39997558519241921"/>
      </left>
      <right/>
      <top/>
      <bottom/>
      <diagonal/>
    </border>
    <border>
      <left style="medium">
        <color theme="5" tint="0.39997558519241921"/>
      </left>
      <right/>
      <top/>
      <bottom style="medium">
        <color theme="5" tint="0.39997558519241921"/>
      </bottom>
      <diagonal/>
    </border>
    <border>
      <left/>
      <right style="medium">
        <color theme="5" tint="0.39997558519241921"/>
      </right>
      <top/>
      <bottom style="medium">
        <color theme="5" tint="0.39997558519241921"/>
      </bottom>
      <diagonal/>
    </border>
    <border>
      <left style="medium">
        <color theme="5" tint="0.39997558519241921"/>
      </left>
      <right/>
      <top style="medium">
        <color theme="5" tint="0.39997558519241921"/>
      </top>
      <bottom/>
      <diagonal/>
    </border>
    <border>
      <left/>
      <right style="medium">
        <color theme="5" tint="0.39997558519241921"/>
      </right>
      <top style="medium">
        <color theme="5" tint="0.39997558519241921"/>
      </top>
      <bottom/>
      <diagonal/>
    </border>
    <border>
      <left style="medium">
        <color theme="6"/>
      </left>
      <right/>
      <top style="medium">
        <color theme="6"/>
      </top>
      <bottom/>
      <diagonal/>
    </border>
    <border>
      <left style="medium">
        <color theme="6"/>
      </left>
      <right/>
      <top/>
      <bottom style="medium">
        <color theme="6"/>
      </bottom>
      <diagonal/>
    </border>
    <border>
      <left/>
      <right style="medium">
        <color theme="6"/>
      </right>
      <top style="medium">
        <color theme="6"/>
      </top>
      <bottom/>
      <diagonal/>
    </border>
    <border>
      <left style="medium">
        <color theme="3" tint="0.39997558519241921"/>
      </left>
      <right style="medium">
        <color theme="6"/>
      </right>
      <top/>
      <bottom style="medium">
        <color theme="6"/>
      </bottom>
      <diagonal/>
    </border>
    <border>
      <left style="medium">
        <color theme="7" tint="0.39997558519241921"/>
      </left>
      <right/>
      <top style="medium">
        <color theme="7" tint="0.39997558519241921"/>
      </top>
      <bottom/>
      <diagonal/>
    </border>
    <border>
      <left style="medium">
        <color theme="7" tint="0.39997558519241921"/>
      </left>
      <right/>
      <top/>
      <bottom/>
      <diagonal/>
    </border>
    <border>
      <left style="medium">
        <color theme="7" tint="0.39997558519241921"/>
      </left>
      <right/>
      <top style="medium">
        <color theme="0" tint="-0.499984740745262"/>
      </top>
      <bottom style="medium">
        <color theme="7" tint="0.39997558519241921"/>
      </bottom>
      <diagonal/>
    </border>
    <border>
      <left/>
      <right style="medium">
        <color theme="7" tint="0.39997558519241921"/>
      </right>
      <top style="medium">
        <color theme="7" tint="0.39997558519241921"/>
      </top>
      <bottom/>
      <diagonal/>
    </border>
    <border>
      <left/>
      <right style="medium">
        <color theme="7" tint="0.39997558519241921"/>
      </right>
      <top/>
      <bottom/>
      <diagonal/>
    </border>
    <border>
      <left/>
      <right style="medium">
        <color theme="7" tint="0.39997558519241921"/>
      </right>
      <top style="medium">
        <color theme="0" tint="-0.499984740745262"/>
      </top>
      <bottom style="medium">
        <color theme="7" tint="0.39997558519241921"/>
      </bottom>
      <diagonal/>
    </border>
    <border>
      <left style="thick">
        <color rgb="FF00B0F0"/>
      </left>
      <right/>
      <top/>
      <bottom/>
      <diagonal/>
    </border>
    <border>
      <left/>
      <right style="thin">
        <color rgb="FF92D050"/>
      </right>
      <top style="thin">
        <color theme="6"/>
      </top>
      <bottom/>
      <diagonal/>
    </border>
    <border>
      <left/>
      <right style="thin">
        <color rgb="FF92D050"/>
      </right>
      <top/>
      <bottom/>
      <diagonal/>
    </border>
    <border>
      <left/>
      <right style="thin">
        <color rgb="FF92D050"/>
      </right>
      <top/>
      <bottom style="thin">
        <color theme="6"/>
      </bottom>
      <diagonal/>
    </border>
  </borders>
  <cellStyleXfs count="31">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78" fontId="23"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150">
    <xf numFmtId="0" fontId="0" fillId="0" borderId="0" xfId="0"/>
    <xf numFmtId="0" fontId="1" fillId="0" borderId="0" xfId="0" applyFont="1"/>
    <xf numFmtId="0" fontId="3" fillId="0" borderId="0" xfId="0" applyFont="1"/>
    <xf numFmtId="0" fontId="5" fillId="0" borderId="0" xfId="0" applyFont="1"/>
    <xf numFmtId="0" fontId="4" fillId="2" borderId="0" xfId="0" applyFont="1" applyFill="1"/>
    <xf numFmtId="0" fontId="8" fillId="0" borderId="0" xfId="0" applyFont="1"/>
    <xf numFmtId="0" fontId="9" fillId="0" borderId="0" xfId="0" applyFont="1"/>
    <xf numFmtId="0" fontId="11" fillId="0" borderId="0" xfId="0" applyFont="1"/>
    <xf numFmtId="2" fontId="11" fillId="0" borderId="0" xfId="0" applyNumberFormat="1" applyFont="1"/>
    <xf numFmtId="0" fontId="0" fillId="0" borderId="0" xfId="0" applyAlignment="1">
      <alignment horizontal="left"/>
    </xf>
    <xf numFmtId="0" fontId="13" fillId="0" borderId="0" xfId="0" applyFont="1" applyAlignment="1">
      <alignment horizontal="right"/>
    </xf>
    <xf numFmtId="0" fontId="12" fillId="0" borderId="0" xfId="0" applyFont="1" applyAlignment="1">
      <alignment horizontal="right"/>
    </xf>
    <xf numFmtId="0" fontId="15" fillId="0" borderId="0" xfId="0" applyFont="1" applyAlignment="1">
      <alignment horizontal="right"/>
    </xf>
    <xf numFmtId="176" fontId="1" fillId="0" borderId="0" xfId="0" applyNumberFormat="1" applyFont="1"/>
    <xf numFmtId="26" fontId="18" fillId="0" borderId="0" xfId="0" applyNumberFormat="1" applyFont="1"/>
    <xf numFmtId="0" fontId="19" fillId="0" borderId="0" xfId="0" applyFont="1"/>
    <xf numFmtId="0" fontId="26" fillId="0" borderId="0" xfId="0" applyFont="1"/>
    <xf numFmtId="0" fontId="27" fillId="0" borderId="0" xfId="0" applyFont="1"/>
    <xf numFmtId="0" fontId="28" fillId="0" borderId="0" xfId="0" applyFont="1"/>
    <xf numFmtId="0" fontId="29" fillId="0" borderId="0" xfId="0" applyFont="1"/>
    <xf numFmtId="176" fontId="24" fillId="0" borderId="0" xfId="0" applyNumberFormat="1" applyFont="1"/>
    <xf numFmtId="16" fontId="0" fillId="0" borderId="0" xfId="0" applyNumberFormat="1" applyAlignment="1">
      <alignment horizontal="left"/>
    </xf>
    <xf numFmtId="16" fontId="29" fillId="0" borderId="0" xfId="0" applyNumberFormat="1" applyFont="1" applyAlignment="1">
      <alignment horizontal="left"/>
    </xf>
    <xf numFmtId="14" fontId="0" fillId="0" borderId="0" xfId="0" applyNumberFormat="1" applyAlignment="1">
      <alignment horizontal="left"/>
    </xf>
    <xf numFmtId="179" fontId="1" fillId="0" borderId="0" xfId="0" applyNumberFormat="1" applyFont="1"/>
    <xf numFmtId="179" fontId="21" fillId="0" borderId="0" xfId="0" applyNumberFormat="1" applyFont="1"/>
    <xf numFmtId="176" fontId="32" fillId="0" borderId="0" xfId="0" applyNumberFormat="1" applyFont="1"/>
    <xf numFmtId="176" fontId="21" fillId="0" borderId="0" xfId="0" applyNumberFormat="1" applyFont="1"/>
    <xf numFmtId="0" fontId="36" fillId="3" borderId="0" xfId="0" applyFont="1" applyFill="1"/>
    <xf numFmtId="14" fontId="6" fillId="0" borderId="0" xfId="0" applyNumberFormat="1" applyFont="1" applyAlignment="1">
      <alignment horizontal="left"/>
    </xf>
    <xf numFmtId="0" fontId="0" fillId="0" borderId="0" xfId="0" applyBorder="1"/>
    <xf numFmtId="0" fontId="34" fillId="3" borderId="1" xfId="0" applyFont="1" applyFill="1" applyBorder="1" applyAlignment="1"/>
    <xf numFmtId="0" fontId="35" fillId="3" borderId="1" xfId="0" applyFont="1" applyFill="1" applyBorder="1" applyAlignment="1">
      <alignment horizontal="left"/>
    </xf>
    <xf numFmtId="0" fontId="38" fillId="0" borderId="0" xfId="0" applyFont="1" applyAlignment="1">
      <alignment horizontal="left"/>
    </xf>
    <xf numFmtId="0" fontId="4" fillId="0" borderId="0" xfId="0" applyFont="1" applyAlignment="1">
      <alignment horizontal="left"/>
    </xf>
    <xf numFmtId="0" fontId="40" fillId="0" borderId="0" xfId="0" applyFont="1"/>
    <xf numFmtId="0" fontId="7" fillId="4" borderId="0" xfId="0" applyFont="1" applyFill="1"/>
    <xf numFmtId="0" fontId="20" fillId="4" borderId="0" xfId="0" applyFont="1" applyFill="1"/>
    <xf numFmtId="0" fontId="45" fillId="0" borderId="6" xfId="0" applyFont="1" applyFill="1" applyBorder="1"/>
    <xf numFmtId="0" fontId="5" fillId="3" borderId="6" xfId="0" applyFont="1" applyFill="1" applyBorder="1"/>
    <xf numFmtId="2" fontId="47" fillId="0" borderId="0" xfId="21" applyNumberFormat="1" applyFont="1"/>
    <xf numFmtId="0" fontId="25" fillId="0" borderId="0" xfId="0" applyFont="1" applyAlignment="1">
      <alignment horizontal="left"/>
    </xf>
    <xf numFmtId="0" fontId="10" fillId="0" borderId="8" xfId="0" applyFont="1" applyBorder="1"/>
    <xf numFmtId="179" fontId="44" fillId="3" borderId="5" xfId="21" applyNumberFormat="1" applyFont="1" applyFill="1" applyBorder="1"/>
    <xf numFmtId="179" fontId="37" fillId="3" borderId="5" xfId="21" applyNumberFormat="1" applyFont="1" applyFill="1" applyBorder="1"/>
    <xf numFmtId="0" fontId="6" fillId="3" borderId="0" xfId="0" applyFont="1" applyFill="1" applyBorder="1" applyAlignment="1">
      <alignment horizontal="right"/>
    </xf>
    <xf numFmtId="0" fontId="6" fillId="0" borderId="0" xfId="0" applyFont="1" applyFill="1" applyBorder="1" applyAlignment="1">
      <alignment horizontal="right"/>
    </xf>
    <xf numFmtId="2" fontId="39" fillId="0" borderId="0" xfId="21" applyNumberFormat="1" applyFont="1" applyBorder="1" applyAlignment="1">
      <alignment horizontal="center"/>
    </xf>
    <xf numFmtId="179" fontId="41" fillId="0" borderId="9" xfId="21" applyNumberFormat="1" applyFont="1" applyBorder="1"/>
    <xf numFmtId="2" fontId="48" fillId="0" borderId="0" xfId="0" applyNumberFormat="1" applyFont="1" applyAlignment="1">
      <alignment horizontal="right"/>
    </xf>
    <xf numFmtId="0" fontId="2" fillId="0" borderId="0" xfId="0" applyFont="1" applyAlignment="1"/>
    <xf numFmtId="0" fontId="46" fillId="3" borderId="10" xfId="0" applyFont="1" applyFill="1" applyBorder="1" applyAlignment="1">
      <alignment horizontal="left"/>
    </xf>
    <xf numFmtId="180" fontId="39" fillId="0" borderId="0" xfId="21" applyNumberFormat="1" applyFont="1" applyBorder="1" applyAlignment="1">
      <alignment horizontal="center"/>
    </xf>
    <xf numFmtId="181" fontId="39" fillId="0" borderId="0" xfId="21" applyNumberFormat="1" applyFont="1" applyAlignment="1">
      <alignment horizontal="center"/>
    </xf>
    <xf numFmtId="0" fontId="6" fillId="0" borderId="0" xfId="0" applyFont="1"/>
    <xf numFmtId="0" fontId="52" fillId="0" borderId="0" xfId="0" applyFont="1"/>
    <xf numFmtId="0" fontId="53" fillId="0" borderId="0" xfId="0" applyFont="1"/>
    <xf numFmtId="0" fontId="54" fillId="0" borderId="0" xfId="0" applyFont="1"/>
    <xf numFmtId="0" fontId="55" fillId="0" borderId="0" xfId="0" applyFont="1"/>
    <xf numFmtId="0" fontId="56" fillId="0" borderId="0" xfId="0" applyFont="1"/>
    <xf numFmtId="0" fontId="0" fillId="5" borderId="0" xfId="0" applyFill="1"/>
    <xf numFmtId="0" fontId="48" fillId="3" borderId="6" xfId="0" applyFont="1" applyFill="1" applyBorder="1"/>
    <xf numFmtId="0" fontId="48" fillId="3" borderId="7" xfId="0" applyFont="1" applyFill="1" applyBorder="1"/>
    <xf numFmtId="0" fontId="57" fillId="3" borderId="7" xfId="0" applyFont="1" applyFill="1" applyBorder="1"/>
    <xf numFmtId="0" fontId="41" fillId="3" borderId="7" xfId="0" applyFont="1" applyFill="1" applyBorder="1"/>
    <xf numFmtId="0" fontId="0" fillId="0" borderId="11" xfId="0" applyBorder="1"/>
    <xf numFmtId="0" fontId="46" fillId="3" borderId="12" xfId="0" applyFont="1" applyFill="1" applyBorder="1" applyAlignment="1">
      <alignment horizontal="left"/>
    </xf>
    <xf numFmtId="0" fontId="58" fillId="0" borderId="6" xfId="0" applyFont="1" applyFill="1" applyBorder="1"/>
    <xf numFmtId="0" fontId="0" fillId="0" borderId="9" xfId="0" applyBorder="1"/>
    <xf numFmtId="179" fontId="50" fillId="0" borderId="9" xfId="0" applyNumberFormat="1" applyFont="1" applyBorder="1"/>
    <xf numFmtId="0" fontId="59" fillId="3" borderId="6" xfId="0" applyNumberFormat="1" applyFont="1" applyFill="1" applyBorder="1" applyAlignment="1">
      <alignment horizontal="left"/>
    </xf>
    <xf numFmtId="0" fontId="59" fillId="3" borderId="7" xfId="0" applyNumberFormat="1" applyFont="1" applyFill="1" applyBorder="1" applyAlignment="1">
      <alignment horizontal="left"/>
    </xf>
    <xf numFmtId="0" fontId="44" fillId="0" borderId="0" xfId="0" applyFont="1"/>
    <xf numFmtId="0" fontId="60" fillId="0" borderId="0" xfId="22" applyFont="1"/>
    <xf numFmtId="0" fontId="61" fillId="0" borderId="0" xfId="0" applyFont="1"/>
    <xf numFmtId="0" fontId="62" fillId="0" borderId="0" xfId="22" applyFont="1"/>
    <xf numFmtId="0" fontId="63" fillId="0" borderId="0" xfId="0" applyFont="1"/>
    <xf numFmtId="0" fontId="64" fillId="0" borderId="0" xfId="0" applyFont="1"/>
    <xf numFmtId="0" fontId="65" fillId="5" borderId="0" xfId="0" applyFont="1" applyFill="1"/>
    <xf numFmtId="0" fontId="3" fillId="5" borderId="0" xfId="0" applyFont="1" applyFill="1"/>
    <xf numFmtId="0" fontId="0" fillId="3" borderId="0" xfId="0" applyFill="1" applyAlignment="1">
      <alignment horizontal="left"/>
    </xf>
    <xf numFmtId="0" fontId="0" fillId="4" borderId="5" xfId="0" applyFill="1" applyBorder="1"/>
    <xf numFmtId="0" fontId="66" fillId="3" borderId="0" xfId="0" applyFont="1" applyFill="1"/>
    <xf numFmtId="0" fontId="66" fillId="3" borderId="6" xfId="0" applyFont="1" applyFill="1" applyBorder="1" applyAlignment="1">
      <alignment horizontal="right"/>
    </xf>
    <xf numFmtId="0" fontId="63" fillId="3" borderId="0" xfId="0" applyFont="1" applyFill="1" applyAlignment="1">
      <alignment horizontal="center"/>
    </xf>
    <xf numFmtId="0" fontId="63" fillId="3" borderId="5" xfId="0" applyFont="1" applyFill="1" applyBorder="1"/>
    <xf numFmtId="0" fontId="67" fillId="3" borderId="5" xfId="0" applyFont="1" applyFill="1" applyBorder="1"/>
    <xf numFmtId="179" fontId="49" fillId="3" borderId="14" xfId="0" applyNumberFormat="1" applyFont="1" applyFill="1" applyBorder="1" applyAlignment="1">
      <alignment horizontal="right"/>
    </xf>
    <xf numFmtId="0" fontId="22" fillId="0" borderId="21" xfId="0" applyFont="1" applyBorder="1" applyAlignment="1">
      <alignment horizontal="left"/>
    </xf>
    <xf numFmtId="179" fontId="51" fillId="3" borderId="23" xfId="0" applyNumberFormat="1" applyFont="1" applyFill="1" applyBorder="1" applyAlignment="1">
      <alignment horizontal="right"/>
    </xf>
    <xf numFmtId="0" fontId="10" fillId="0" borderId="16" xfId="0" applyFont="1" applyBorder="1"/>
    <xf numFmtId="2" fontId="75" fillId="0" borderId="17" xfId="0" applyNumberFormat="1" applyFont="1" applyBorder="1" applyAlignment="1">
      <alignment horizontal="right"/>
    </xf>
    <xf numFmtId="0" fontId="76" fillId="0" borderId="15" xfId="0" applyFont="1" applyBorder="1" applyAlignment="1">
      <alignment wrapText="1"/>
    </xf>
    <xf numFmtId="179" fontId="77" fillId="0" borderId="0" xfId="21" applyNumberFormat="1" applyFont="1"/>
    <xf numFmtId="4" fontId="78" fillId="0" borderId="0" xfId="0" applyNumberFormat="1" applyFont="1"/>
    <xf numFmtId="2" fontId="80" fillId="0" borderId="8" xfId="0" applyNumberFormat="1" applyFont="1" applyBorder="1" applyAlignment="1">
      <alignment horizontal="right"/>
    </xf>
    <xf numFmtId="0" fontId="0" fillId="6" borderId="25" xfId="0" applyFill="1" applyBorder="1"/>
    <xf numFmtId="2" fontId="80" fillId="6" borderId="28" xfId="0" applyNumberFormat="1" applyFont="1" applyFill="1" applyBorder="1" applyAlignment="1">
      <alignment horizontal="right"/>
    </xf>
    <xf numFmtId="0" fontId="72" fillId="6" borderId="25" xfId="0" applyFont="1" applyFill="1" applyBorder="1" applyAlignment="1">
      <alignment horizontal="right"/>
    </xf>
    <xf numFmtId="0" fontId="72" fillId="6" borderId="28" xfId="0" applyFont="1" applyFill="1" applyBorder="1" applyAlignment="1">
      <alignment horizontal="right"/>
    </xf>
    <xf numFmtId="0" fontId="73" fillId="6" borderId="25" xfId="0" applyFont="1" applyFill="1" applyBorder="1" applyAlignment="1">
      <alignment horizontal="right"/>
    </xf>
    <xf numFmtId="179" fontId="74" fillId="6" borderId="28" xfId="0" applyNumberFormat="1" applyFont="1" applyFill="1" applyBorder="1"/>
    <xf numFmtId="0" fontId="23" fillId="6" borderId="26" xfId="0" applyFont="1" applyFill="1" applyBorder="1"/>
    <xf numFmtId="177" fontId="1" fillId="0" borderId="0" xfId="0" applyNumberFormat="1" applyFont="1" applyFill="1"/>
    <xf numFmtId="0" fontId="0" fillId="0" borderId="0" xfId="0" applyFont="1" applyFill="1"/>
    <xf numFmtId="176" fontId="0" fillId="0" borderId="0" xfId="0" applyNumberFormat="1" applyFont="1" applyFill="1"/>
    <xf numFmtId="2" fontId="77" fillId="6" borderId="29" xfId="0" applyNumberFormat="1" applyFont="1" applyFill="1" applyBorder="1"/>
    <xf numFmtId="2" fontId="0" fillId="0" borderId="0" xfId="0" applyNumberFormat="1"/>
    <xf numFmtId="176" fontId="0" fillId="0" borderId="0" xfId="0" applyNumberFormat="1"/>
    <xf numFmtId="0" fontId="84" fillId="0" borderId="0" xfId="0" applyFont="1"/>
    <xf numFmtId="0" fontId="6" fillId="0" borderId="0" xfId="0" applyFont="1" applyFill="1"/>
    <xf numFmtId="0" fontId="52" fillId="0" borderId="0" xfId="0" applyFont="1" applyFill="1"/>
    <xf numFmtId="0" fontId="82" fillId="0" borderId="0" xfId="0" applyFont="1" applyAlignment="1">
      <alignment horizontal="left"/>
    </xf>
    <xf numFmtId="0" fontId="68" fillId="0" borderId="9" xfId="0" applyFont="1" applyBorder="1" applyAlignment="1">
      <alignment horizontal="right"/>
    </xf>
    <xf numFmtId="0" fontId="69" fillId="0" borderId="9" xfId="0" applyFont="1" applyBorder="1" applyAlignment="1">
      <alignment horizontal="right"/>
    </xf>
    <xf numFmtId="4" fontId="7" fillId="0" borderId="0" xfId="0" applyNumberFormat="1" applyFont="1" applyAlignment="1">
      <alignment horizontal="left"/>
    </xf>
    <xf numFmtId="4" fontId="81" fillId="0" borderId="0" xfId="0" applyNumberFormat="1" applyFont="1" applyAlignment="1">
      <alignment horizontal="left"/>
    </xf>
    <xf numFmtId="4" fontId="10" fillId="7" borderId="18" xfId="0" applyNumberFormat="1" applyFont="1" applyFill="1" applyBorder="1" applyAlignment="1">
      <alignment horizontal="left"/>
    </xf>
    <xf numFmtId="4" fontId="70" fillId="7" borderId="19" xfId="0" applyNumberFormat="1" applyFont="1" applyFill="1" applyBorder="1" applyAlignment="1">
      <alignment horizontal="left"/>
    </xf>
    <xf numFmtId="0" fontId="0" fillId="4" borderId="13" xfId="0" applyFill="1" applyBorder="1" applyAlignment="1">
      <alignment horizontal="left"/>
    </xf>
    <xf numFmtId="0" fontId="0" fillId="4" borderId="0" xfId="0" applyFill="1" applyBorder="1" applyAlignment="1">
      <alignment horizontal="left"/>
    </xf>
    <xf numFmtId="0" fontId="79" fillId="9" borderId="24" xfId="0" applyFont="1" applyFill="1" applyBorder="1" applyAlignment="1">
      <alignment horizontal="left"/>
    </xf>
    <xf numFmtId="0" fontId="79" fillId="9" borderId="27" xfId="0" applyFont="1" applyFill="1" applyBorder="1" applyAlignment="1">
      <alignment horizontal="left"/>
    </xf>
    <xf numFmtId="0" fontId="44" fillId="3" borderId="0" xfId="0" applyFont="1" applyFill="1"/>
    <xf numFmtId="0" fontId="33" fillId="0" borderId="0" xfId="0" applyFont="1" applyAlignment="1">
      <alignment horizontal="center"/>
    </xf>
    <xf numFmtId="0" fontId="44" fillId="3" borderId="0" xfId="0" applyFont="1" applyFill="1" applyAlignment="1">
      <alignment horizontal="left"/>
    </xf>
    <xf numFmtId="0" fontId="0" fillId="4" borderId="13" xfId="0" applyFill="1" applyBorder="1"/>
    <xf numFmtId="0" fontId="0" fillId="4" borderId="0" xfId="0" applyFill="1" applyBorder="1"/>
    <xf numFmtId="4" fontId="71" fillId="8" borderId="20" xfId="0" applyNumberFormat="1" applyFont="1" applyFill="1" applyBorder="1" applyAlignment="1">
      <alignment horizontal="left"/>
    </xf>
    <xf numFmtId="4" fontId="10" fillId="8" borderId="22" xfId="0" applyNumberFormat="1" applyFont="1" applyFill="1" applyBorder="1" applyAlignment="1">
      <alignment horizontal="left"/>
    </xf>
    <xf numFmtId="0" fontId="42" fillId="0" borderId="3" xfId="0" applyFont="1" applyBorder="1" applyAlignment="1">
      <alignment horizontal="center" wrapText="1"/>
    </xf>
    <xf numFmtId="0" fontId="42" fillId="0" borderId="31" xfId="0" applyFont="1" applyBorder="1" applyAlignment="1">
      <alignment horizontal="center" wrapText="1"/>
    </xf>
    <xf numFmtId="0" fontId="42" fillId="0" borderId="2" xfId="0" applyFont="1" applyBorder="1" applyAlignment="1">
      <alignment horizontal="center" wrapText="1"/>
    </xf>
    <xf numFmtId="0" fontId="42" fillId="0" borderId="32" xfId="0" applyFont="1" applyBorder="1" applyAlignment="1">
      <alignment horizontal="center" wrapText="1"/>
    </xf>
    <xf numFmtId="179" fontId="43" fillId="0" borderId="4" xfId="21" applyNumberFormat="1" applyFont="1" applyBorder="1" applyAlignment="1">
      <alignment horizontal="center"/>
    </xf>
    <xf numFmtId="179" fontId="43" fillId="0" borderId="33" xfId="21" applyNumberFormat="1" applyFont="1" applyBorder="1" applyAlignment="1">
      <alignment horizontal="center"/>
    </xf>
    <xf numFmtId="0" fontId="25" fillId="0" borderId="0" xfId="0" applyFont="1"/>
    <xf numFmtId="184" fontId="6" fillId="3" borderId="0" xfId="0" applyNumberFormat="1" applyFont="1" applyFill="1" applyBorder="1" applyAlignment="1"/>
    <xf numFmtId="184" fontId="6" fillId="6" borderId="0" xfId="0" applyNumberFormat="1" applyFont="1" applyFill="1" applyBorder="1" applyAlignment="1"/>
    <xf numFmtId="184" fontId="0" fillId="6" borderId="0" xfId="0" applyNumberFormat="1" applyFill="1" applyBorder="1" applyAlignment="1"/>
    <xf numFmtId="184" fontId="0" fillId="3" borderId="0" xfId="0" applyNumberFormat="1" applyFill="1" applyBorder="1" applyAlignment="1"/>
    <xf numFmtId="0" fontId="44" fillId="3" borderId="30" xfId="0" applyFont="1" applyFill="1" applyBorder="1" applyAlignment="1"/>
    <xf numFmtId="0" fontId="44" fillId="3" borderId="0" xfId="0" applyFont="1" applyFill="1" applyBorder="1" applyAlignment="1"/>
    <xf numFmtId="0" fontId="44" fillId="3" borderId="0" xfId="0" applyFont="1" applyFill="1" applyBorder="1" applyAlignment="1">
      <alignment wrapText="1"/>
    </xf>
    <xf numFmtId="0" fontId="44" fillId="3" borderId="0" xfId="0" applyFont="1" applyFill="1" applyBorder="1"/>
    <xf numFmtId="0" fontId="86" fillId="3" borderId="30" xfId="0" applyFont="1" applyFill="1" applyBorder="1" applyAlignment="1"/>
    <xf numFmtId="176" fontId="87" fillId="3" borderId="0" xfId="0" applyNumberFormat="1" applyFont="1" applyFill="1" applyBorder="1"/>
    <xf numFmtId="177" fontId="88" fillId="3" borderId="0" xfId="0" applyNumberFormat="1" applyFont="1" applyFill="1" applyBorder="1"/>
    <xf numFmtId="176" fontId="89" fillId="3" borderId="0" xfId="0" applyNumberFormat="1" applyFont="1" applyFill="1" applyBorder="1"/>
    <xf numFmtId="0" fontId="90" fillId="0" borderId="0" xfId="0" applyFont="1" applyFill="1"/>
  </cellXfs>
  <cellStyles count="31">
    <cellStyle name="Currency" xfId="21" builtinId="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2" builtinId="8"/>
    <cellStyle name="Normal" xfId="0" builtinId="0"/>
  </cellStyles>
  <dxfs count="12">
    <dxf>
      <font>
        <color theme="8" tint="-0.24994659260841701"/>
      </font>
      <fill>
        <patternFill>
          <bgColor theme="8" tint="0.79998168889431442"/>
        </patternFill>
      </fill>
    </dxf>
    <dxf>
      <font>
        <color theme="0" tint="-0.24994659260841701"/>
      </font>
    </dxf>
    <dxf>
      <font>
        <color theme="5" tint="-0.499984740745262"/>
      </font>
      <fill>
        <patternFill>
          <bgColor theme="9" tint="0.79998168889431442"/>
        </patternFill>
      </fill>
      <border>
        <left/>
        <right/>
        <top/>
        <bottom/>
      </border>
    </dxf>
    <dxf>
      <font>
        <color theme="2" tint="-0.749961851863155"/>
      </font>
      <fill>
        <patternFill>
          <bgColor theme="2"/>
        </patternFill>
      </fill>
    </dxf>
    <dxf>
      <font>
        <color theme="8" tint="-0.24994659260841701"/>
      </font>
      <fill>
        <patternFill>
          <bgColor rgb="FFD5F9F8"/>
        </patternFill>
      </fill>
    </dxf>
    <dxf>
      <font>
        <color theme="8" tint="-0.24994659260841701"/>
      </font>
      <fill>
        <patternFill>
          <bgColor theme="0" tint="-4.9989318521683403E-2"/>
        </patternFill>
      </fill>
    </dxf>
    <dxf>
      <font>
        <color theme="8" tint="-0.24994659260841701"/>
      </font>
      <fill>
        <patternFill>
          <bgColor theme="8" tint="0.79998168889431442"/>
        </patternFill>
      </fill>
    </dxf>
    <dxf>
      <font>
        <color theme="0" tint="-0.24994659260841701"/>
      </font>
    </dxf>
    <dxf>
      <font>
        <color theme="5" tint="-0.499984740745262"/>
      </font>
      <fill>
        <patternFill>
          <bgColor theme="9" tint="0.79998168889431442"/>
        </patternFill>
      </fill>
      <border>
        <left/>
        <right/>
        <top/>
        <bottom/>
      </border>
    </dxf>
    <dxf>
      <font>
        <color theme="2" tint="-0.749961851863155"/>
      </font>
      <fill>
        <patternFill>
          <bgColor theme="2"/>
        </patternFill>
      </fill>
    </dxf>
    <dxf>
      <font>
        <color theme="8" tint="-0.24994659260841701"/>
      </font>
      <fill>
        <patternFill>
          <bgColor rgb="FFD5F9F8"/>
        </patternFill>
      </fill>
    </dxf>
    <dxf>
      <font>
        <color theme="8" tint="-0.24994659260841701"/>
      </font>
      <fill>
        <patternFill>
          <bgColor theme="0" tint="-4.9989318521683403E-2"/>
        </patternFill>
      </fill>
    </dxf>
  </dxfs>
  <tableStyles count="0" defaultTableStyle="TableStyleMedium2" defaultPivotStyle="PivotStyleLight16"/>
  <colors>
    <mruColors>
      <color rgb="FFFF7C80"/>
      <color rgb="FFC0C0C0"/>
      <color rgb="FFDDDDDD"/>
      <color rgb="FF236B47"/>
      <color rgb="FFFFFF99"/>
      <color rgb="FFFFCCCC"/>
      <color rgb="FFCC0066"/>
      <color rgb="FFD5F9F8"/>
      <color rgb="FF9148C8"/>
      <color rgb="FF3399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firstButton="1"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3</xdr:row>
          <xdr:rowOff>91440</xdr:rowOff>
        </xdr:from>
        <xdr:to>
          <xdr:col>3</xdr:col>
          <xdr:colOff>327660</xdr:colOff>
          <xdr:row>7</xdr:row>
          <xdr:rowOff>76200</xdr:rowOff>
        </xdr:to>
        <xdr:sp macro="" textlink="">
          <xdr:nvSpPr>
            <xdr:cNvPr id="163841" name="Button 1" hidden="1">
              <a:extLst>
                <a:ext uri="{63B3BB69-23CF-44E3-9099-C40C66FF867C}">
                  <a14:compatExt spid="_x0000_s163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ko-KR" altLang="en-US" sz="1400" b="0" i="0" u="none" strike="noStrike" baseline="0">
                  <a:solidFill>
                    <a:srgbClr val="236B47"/>
                  </a:solidFill>
                  <a:latin typeface="Century Gothic"/>
                </a:rPr>
                <a:t>Start New Sheet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660400</xdr:colOff>
      <xdr:row>7</xdr:row>
      <xdr:rowOff>7620</xdr:rowOff>
    </xdr:from>
    <xdr:to>
      <xdr:col>9</xdr:col>
      <xdr:colOff>228600</xdr:colOff>
      <xdr:row>8</xdr:row>
      <xdr:rowOff>208280</xdr:rowOff>
    </xdr:to>
    <xdr:cxnSp macro="">
      <xdr:nvCxnSpPr>
        <xdr:cNvPr id="3" name="Elbow Connector 2"/>
        <xdr:cNvCxnSpPr/>
      </xdr:nvCxnSpPr>
      <xdr:spPr>
        <a:xfrm rot="5400000">
          <a:off x="4424680" y="1684020"/>
          <a:ext cx="414020" cy="444500"/>
        </a:xfrm>
        <a:prstGeom prst="bentConnector3">
          <a:avLst>
            <a:gd name="adj1" fmla="val 50000"/>
          </a:avLst>
        </a:prstGeom>
        <a:ln>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670560</xdr:colOff>
      <xdr:row>12</xdr:row>
      <xdr:rowOff>7620</xdr:rowOff>
    </xdr:from>
    <xdr:to>
      <xdr:col>8</xdr:col>
      <xdr:colOff>670560</xdr:colOff>
      <xdr:row>13</xdr:row>
      <xdr:rowOff>0</xdr:rowOff>
    </xdr:to>
    <xdr:cxnSp macro="">
      <xdr:nvCxnSpPr>
        <xdr:cNvPr id="6" name="Straight Connector 5"/>
        <xdr:cNvCxnSpPr/>
      </xdr:nvCxnSpPr>
      <xdr:spPr>
        <a:xfrm>
          <a:off x="4297680" y="2766060"/>
          <a:ext cx="0" cy="20574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15240</xdr:colOff>
          <xdr:row>4</xdr:row>
          <xdr:rowOff>0</xdr:rowOff>
        </xdr:from>
        <xdr:to>
          <xdr:col>17</xdr:col>
          <xdr:colOff>114300</xdr:colOff>
          <xdr:row>5</xdr:row>
          <xdr:rowOff>53340</xdr:rowOff>
        </xdr:to>
        <xdr:sp macro="" textlink="">
          <xdr:nvSpPr>
            <xdr:cNvPr id="159785" name="Option Button 1" hidden="1">
              <a:extLst>
                <a:ext uri="{63B3BB69-23CF-44E3-9099-C40C66FF867C}">
                  <a14:compatExt spid="_x0000_s159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83820</xdr:rowOff>
        </xdr:from>
        <xdr:to>
          <xdr:col>20</xdr:col>
          <xdr:colOff>594360</xdr:colOff>
          <xdr:row>19</xdr:row>
          <xdr:rowOff>76200</xdr:rowOff>
        </xdr:to>
        <xdr:sp macro="" textlink="">
          <xdr:nvSpPr>
            <xdr:cNvPr id="159786" name="SubmitButton" hidden="1">
              <a:extLst>
                <a:ext uri="{63B3BB69-23CF-44E3-9099-C40C66FF867C}">
                  <a14:compatExt spid="_x0000_s1597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4</xdr:row>
          <xdr:rowOff>205740</xdr:rowOff>
        </xdr:from>
        <xdr:to>
          <xdr:col>17</xdr:col>
          <xdr:colOff>114300</xdr:colOff>
          <xdr:row>6</xdr:row>
          <xdr:rowOff>38100</xdr:rowOff>
        </xdr:to>
        <xdr:sp macro="" textlink="">
          <xdr:nvSpPr>
            <xdr:cNvPr id="159789" name="Option Button 2" hidden="1">
              <a:extLst>
                <a:ext uri="{63B3BB69-23CF-44E3-9099-C40C66FF867C}">
                  <a14:compatExt spid="_x0000_s159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6</xdr:row>
          <xdr:rowOff>7620</xdr:rowOff>
        </xdr:from>
        <xdr:to>
          <xdr:col>17</xdr:col>
          <xdr:colOff>106680</xdr:colOff>
          <xdr:row>7</xdr:row>
          <xdr:rowOff>53340</xdr:rowOff>
        </xdr:to>
        <xdr:sp macro="" textlink="">
          <xdr:nvSpPr>
            <xdr:cNvPr id="159790" name="Option Button 3" hidden="1">
              <a:extLst>
                <a:ext uri="{63B3BB69-23CF-44E3-9099-C40C66FF867C}">
                  <a14:compatExt spid="_x0000_s159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7</xdr:row>
          <xdr:rowOff>0</xdr:rowOff>
        </xdr:from>
        <xdr:to>
          <xdr:col>17</xdr:col>
          <xdr:colOff>114300</xdr:colOff>
          <xdr:row>8</xdr:row>
          <xdr:rowOff>53340</xdr:rowOff>
        </xdr:to>
        <xdr:sp macro="" textlink="">
          <xdr:nvSpPr>
            <xdr:cNvPr id="159792" name="Option Button 4" hidden="1">
              <a:extLst>
                <a:ext uri="{63B3BB69-23CF-44E3-9099-C40C66FF867C}">
                  <a14:compatExt spid="_x0000_s159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8</xdr:row>
          <xdr:rowOff>0</xdr:rowOff>
        </xdr:from>
        <xdr:to>
          <xdr:col>17</xdr:col>
          <xdr:colOff>114300</xdr:colOff>
          <xdr:row>9</xdr:row>
          <xdr:rowOff>53340</xdr:rowOff>
        </xdr:to>
        <xdr:sp macro="" textlink="">
          <xdr:nvSpPr>
            <xdr:cNvPr id="159793" name="Option Button 5" hidden="1">
              <a:extLst>
                <a:ext uri="{63B3BB69-23CF-44E3-9099-C40C66FF867C}">
                  <a14:compatExt spid="_x0000_s159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9</xdr:row>
          <xdr:rowOff>0</xdr:rowOff>
        </xdr:from>
        <xdr:to>
          <xdr:col>17</xdr:col>
          <xdr:colOff>114300</xdr:colOff>
          <xdr:row>10</xdr:row>
          <xdr:rowOff>53340</xdr:rowOff>
        </xdr:to>
        <xdr:sp macro="" textlink="">
          <xdr:nvSpPr>
            <xdr:cNvPr id="159794" name="Option Button 6" hidden="1">
              <a:extLst>
                <a:ext uri="{63B3BB69-23CF-44E3-9099-C40C66FF867C}">
                  <a14:compatExt spid="_x0000_s159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0</xdr:rowOff>
        </xdr:from>
        <xdr:to>
          <xdr:col>17</xdr:col>
          <xdr:colOff>114300</xdr:colOff>
          <xdr:row>11</xdr:row>
          <xdr:rowOff>53340</xdr:rowOff>
        </xdr:to>
        <xdr:sp macro="" textlink="">
          <xdr:nvSpPr>
            <xdr:cNvPr id="159795" name="Option Button 7" hidden="1">
              <a:extLst>
                <a:ext uri="{63B3BB69-23CF-44E3-9099-C40C66FF867C}">
                  <a14:compatExt spid="_x0000_s159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213360</xdr:rowOff>
        </xdr:from>
        <xdr:to>
          <xdr:col>17</xdr:col>
          <xdr:colOff>114300</xdr:colOff>
          <xdr:row>12</xdr:row>
          <xdr:rowOff>53340</xdr:rowOff>
        </xdr:to>
        <xdr:sp macro="" textlink="">
          <xdr:nvSpPr>
            <xdr:cNvPr id="159797" name="Option Button 8" hidden="1">
              <a:extLst>
                <a:ext uri="{63B3BB69-23CF-44E3-9099-C40C66FF867C}">
                  <a14:compatExt spid="_x0000_s159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198120</xdr:rowOff>
        </xdr:from>
        <xdr:to>
          <xdr:col>17</xdr:col>
          <xdr:colOff>114300</xdr:colOff>
          <xdr:row>13</xdr:row>
          <xdr:rowOff>38100</xdr:rowOff>
        </xdr:to>
        <xdr:sp macro="" textlink="">
          <xdr:nvSpPr>
            <xdr:cNvPr id="159798" name="Option Button 9" hidden="1">
              <a:extLst>
                <a:ext uri="{63B3BB69-23CF-44E3-9099-C40C66FF867C}">
                  <a14:compatExt spid="_x0000_s159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12</xdr:row>
          <xdr:rowOff>205740</xdr:rowOff>
        </xdr:from>
        <xdr:to>
          <xdr:col>17</xdr:col>
          <xdr:colOff>114300</xdr:colOff>
          <xdr:row>14</xdr:row>
          <xdr:rowOff>45720</xdr:rowOff>
        </xdr:to>
        <xdr:sp macro="" textlink="">
          <xdr:nvSpPr>
            <xdr:cNvPr id="159799" name="Option Button 10" hidden="1">
              <a:extLst>
                <a:ext uri="{63B3BB69-23CF-44E3-9099-C40C66FF867C}">
                  <a14:compatExt spid="_x0000_s159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13</xdr:row>
          <xdr:rowOff>198120</xdr:rowOff>
        </xdr:from>
        <xdr:to>
          <xdr:col>17</xdr:col>
          <xdr:colOff>114300</xdr:colOff>
          <xdr:row>15</xdr:row>
          <xdr:rowOff>38100</xdr:rowOff>
        </xdr:to>
        <xdr:sp macro="" textlink="">
          <xdr:nvSpPr>
            <xdr:cNvPr id="159800" name="Option Button 11" hidden="1">
              <a:extLst>
                <a:ext uri="{63B3BB69-23CF-44E3-9099-C40C66FF867C}">
                  <a14:compatExt spid="_x0000_s159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14</xdr:row>
          <xdr:rowOff>213360</xdr:rowOff>
        </xdr:from>
        <xdr:to>
          <xdr:col>17</xdr:col>
          <xdr:colOff>114300</xdr:colOff>
          <xdr:row>16</xdr:row>
          <xdr:rowOff>53340</xdr:rowOff>
        </xdr:to>
        <xdr:sp macro="" textlink="">
          <xdr:nvSpPr>
            <xdr:cNvPr id="159801" name="Option Button 12" hidden="1">
              <a:extLst>
                <a:ext uri="{63B3BB69-23CF-44E3-9099-C40C66FF867C}">
                  <a14:compatExt spid="_x0000_s159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15</xdr:row>
          <xdr:rowOff>198120</xdr:rowOff>
        </xdr:from>
        <xdr:to>
          <xdr:col>17</xdr:col>
          <xdr:colOff>114300</xdr:colOff>
          <xdr:row>17</xdr:row>
          <xdr:rowOff>38100</xdr:rowOff>
        </xdr:to>
        <xdr:sp macro="" textlink="">
          <xdr:nvSpPr>
            <xdr:cNvPr id="159802" name="Option Button 13" hidden="1">
              <a:extLst>
                <a:ext uri="{63B3BB69-23CF-44E3-9099-C40C66FF867C}">
                  <a14:compatExt spid="_x0000_s159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16</xdr:row>
          <xdr:rowOff>213360</xdr:rowOff>
        </xdr:from>
        <xdr:to>
          <xdr:col>17</xdr:col>
          <xdr:colOff>114300</xdr:colOff>
          <xdr:row>18</xdr:row>
          <xdr:rowOff>53340</xdr:rowOff>
        </xdr:to>
        <xdr:sp macro="" textlink="">
          <xdr:nvSpPr>
            <xdr:cNvPr id="159803" name="Option Button 14" hidden="1">
              <a:extLst>
                <a:ext uri="{63B3BB69-23CF-44E3-9099-C40C66FF867C}">
                  <a14:compatExt spid="_x0000_s159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17</xdr:row>
          <xdr:rowOff>198120</xdr:rowOff>
        </xdr:from>
        <xdr:to>
          <xdr:col>17</xdr:col>
          <xdr:colOff>114300</xdr:colOff>
          <xdr:row>19</xdr:row>
          <xdr:rowOff>38100</xdr:rowOff>
        </xdr:to>
        <xdr:sp macro="" textlink="">
          <xdr:nvSpPr>
            <xdr:cNvPr id="159804" name="Option Button 15" hidden="1">
              <a:extLst>
                <a:ext uri="{63B3BB69-23CF-44E3-9099-C40C66FF867C}">
                  <a14:compatExt spid="_x0000_s159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18</xdr:row>
          <xdr:rowOff>190500</xdr:rowOff>
        </xdr:from>
        <xdr:to>
          <xdr:col>17</xdr:col>
          <xdr:colOff>114300</xdr:colOff>
          <xdr:row>20</xdr:row>
          <xdr:rowOff>30480</xdr:rowOff>
        </xdr:to>
        <xdr:sp macro="" textlink="">
          <xdr:nvSpPr>
            <xdr:cNvPr id="159805" name="Option Button 16" hidden="1">
              <a:extLst>
                <a:ext uri="{63B3BB69-23CF-44E3-9099-C40C66FF867C}">
                  <a14:compatExt spid="_x0000_s159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19</xdr:row>
          <xdr:rowOff>205740</xdr:rowOff>
        </xdr:from>
        <xdr:to>
          <xdr:col>17</xdr:col>
          <xdr:colOff>114300</xdr:colOff>
          <xdr:row>21</xdr:row>
          <xdr:rowOff>45720</xdr:rowOff>
        </xdr:to>
        <xdr:sp macro="" textlink="">
          <xdr:nvSpPr>
            <xdr:cNvPr id="159806" name="Option Button 17" hidden="1">
              <a:extLst>
                <a:ext uri="{63B3BB69-23CF-44E3-9099-C40C66FF867C}">
                  <a14:compatExt spid="_x0000_s159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20</xdr:row>
          <xdr:rowOff>205740</xdr:rowOff>
        </xdr:from>
        <xdr:to>
          <xdr:col>17</xdr:col>
          <xdr:colOff>114300</xdr:colOff>
          <xdr:row>22</xdr:row>
          <xdr:rowOff>45720</xdr:rowOff>
        </xdr:to>
        <xdr:sp macro="" textlink="">
          <xdr:nvSpPr>
            <xdr:cNvPr id="159807" name="Option Button 18" hidden="1">
              <a:extLst>
                <a:ext uri="{63B3BB69-23CF-44E3-9099-C40C66FF867C}">
                  <a14:compatExt spid="_x0000_s159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21</xdr:row>
          <xdr:rowOff>198120</xdr:rowOff>
        </xdr:from>
        <xdr:to>
          <xdr:col>17</xdr:col>
          <xdr:colOff>114300</xdr:colOff>
          <xdr:row>23</xdr:row>
          <xdr:rowOff>38100</xdr:rowOff>
        </xdr:to>
        <xdr:sp macro="" textlink="">
          <xdr:nvSpPr>
            <xdr:cNvPr id="159808" name="Option Button 19" hidden="1">
              <a:extLst>
                <a:ext uri="{63B3BB69-23CF-44E3-9099-C40C66FF867C}">
                  <a14:compatExt spid="_x0000_s159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22</xdr:row>
          <xdr:rowOff>213360</xdr:rowOff>
        </xdr:from>
        <xdr:to>
          <xdr:col>17</xdr:col>
          <xdr:colOff>114300</xdr:colOff>
          <xdr:row>24</xdr:row>
          <xdr:rowOff>53340</xdr:rowOff>
        </xdr:to>
        <xdr:sp macro="" textlink="">
          <xdr:nvSpPr>
            <xdr:cNvPr id="159809" name="Option Button 20" hidden="1">
              <a:extLst>
                <a:ext uri="{63B3BB69-23CF-44E3-9099-C40C66FF867C}">
                  <a14:compatExt spid="_x0000_s159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23</xdr:row>
          <xdr:rowOff>198120</xdr:rowOff>
        </xdr:from>
        <xdr:to>
          <xdr:col>17</xdr:col>
          <xdr:colOff>114300</xdr:colOff>
          <xdr:row>25</xdr:row>
          <xdr:rowOff>38100</xdr:rowOff>
        </xdr:to>
        <xdr:sp macro="" textlink="">
          <xdr:nvSpPr>
            <xdr:cNvPr id="159810" name="Option Button 21" hidden="1">
              <a:extLst>
                <a:ext uri="{63B3BB69-23CF-44E3-9099-C40C66FF867C}">
                  <a14:compatExt spid="_x0000_s159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24</xdr:row>
          <xdr:rowOff>198120</xdr:rowOff>
        </xdr:from>
        <xdr:to>
          <xdr:col>17</xdr:col>
          <xdr:colOff>114300</xdr:colOff>
          <xdr:row>26</xdr:row>
          <xdr:rowOff>38100</xdr:rowOff>
        </xdr:to>
        <xdr:sp macro="" textlink="">
          <xdr:nvSpPr>
            <xdr:cNvPr id="159811" name="Option Button 22" hidden="1">
              <a:extLst>
                <a:ext uri="{63B3BB69-23CF-44E3-9099-C40C66FF867C}">
                  <a14:compatExt spid="_x0000_s159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25</xdr:row>
          <xdr:rowOff>205740</xdr:rowOff>
        </xdr:from>
        <xdr:to>
          <xdr:col>17</xdr:col>
          <xdr:colOff>114300</xdr:colOff>
          <xdr:row>27</xdr:row>
          <xdr:rowOff>45720</xdr:rowOff>
        </xdr:to>
        <xdr:sp macro="" textlink="">
          <xdr:nvSpPr>
            <xdr:cNvPr id="159812" name="Option Button 23" hidden="1">
              <a:extLst>
                <a:ext uri="{63B3BB69-23CF-44E3-9099-C40C66FF867C}">
                  <a14:compatExt spid="_x0000_s159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26</xdr:row>
          <xdr:rowOff>198120</xdr:rowOff>
        </xdr:from>
        <xdr:to>
          <xdr:col>17</xdr:col>
          <xdr:colOff>114300</xdr:colOff>
          <xdr:row>28</xdr:row>
          <xdr:rowOff>38100</xdr:rowOff>
        </xdr:to>
        <xdr:sp macro="" textlink="">
          <xdr:nvSpPr>
            <xdr:cNvPr id="159813" name="Option Button 24" hidden="1">
              <a:extLst>
                <a:ext uri="{63B3BB69-23CF-44E3-9099-C40C66FF867C}">
                  <a14:compatExt spid="_x0000_s159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27</xdr:row>
          <xdr:rowOff>190500</xdr:rowOff>
        </xdr:from>
        <xdr:to>
          <xdr:col>17</xdr:col>
          <xdr:colOff>114300</xdr:colOff>
          <xdr:row>29</xdr:row>
          <xdr:rowOff>30480</xdr:rowOff>
        </xdr:to>
        <xdr:sp macro="" textlink="">
          <xdr:nvSpPr>
            <xdr:cNvPr id="159814" name="Option Button 25" hidden="1">
              <a:extLst>
                <a:ext uri="{63B3BB69-23CF-44E3-9099-C40C66FF867C}">
                  <a14:compatExt spid="_x0000_s159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28</xdr:row>
          <xdr:rowOff>205740</xdr:rowOff>
        </xdr:from>
        <xdr:to>
          <xdr:col>17</xdr:col>
          <xdr:colOff>114300</xdr:colOff>
          <xdr:row>30</xdr:row>
          <xdr:rowOff>45720</xdr:rowOff>
        </xdr:to>
        <xdr:sp macro="" textlink="">
          <xdr:nvSpPr>
            <xdr:cNvPr id="159815" name="Option Button 26" hidden="1">
              <a:extLst>
                <a:ext uri="{63B3BB69-23CF-44E3-9099-C40C66FF867C}">
                  <a14:compatExt spid="_x0000_s159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29</xdr:row>
          <xdr:rowOff>205740</xdr:rowOff>
        </xdr:from>
        <xdr:to>
          <xdr:col>17</xdr:col>
          <xdr:colOff>114300</xdr:colOff>
          <xdr:row>31</xdr:row>
          <xdr:rowOff>45720</xdr:rowOff>
        </xdr:to>
        <xdr:sp macro="" textlink="">
          <xdr:nvSpPr>
            <xdr:cNvPr id="159816" name="Option Button 27" hidden="1">
              <a:extLst>
                <a:ext uri="{63B3BB69-23CF-44E3-9099-C40C66FF867C}">
                  <a14:compatExt spid="_x0000_s159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30</xdr:row>
          <xdr:rowOff>198120</xdr:rowOff>
        </xdr:from>
        <xdr:to>
          <xdr:col>17</xdr:col>
          <xdr:colOff>114300</xdr:colOff>
          <xdr:row>32</xdr:row>
          <xdr:rowOff>38100</xdr:rowOff>
        </xdr:to>
        <xdr:sp macro="" textlink="">
          <xdr:nvSpPr>
            <xdr:cNvPr id="159817" name="Option Button 28" hidden="1">
              <a:extLst>
                <a:ext uri="{63B3BB69-23CF-44E3-9099-C40C66FF867C}">
                  <a14:compatExt spid="_x0000_s159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31</xdr:row>
          <xdr:rowOff>190500</xdr:rowOff>
        </xdr:from>
        <xdr:to>
          <xdr:col>17</xdr:col>
          <xdr:colOff>114300</xdr:colOff>
          <xdr:row>33</xdr:row>
          <xdr:rowOff>30480</xdr:rowOff>
        </xdr:to>
        <xdr:sp macro="" textlink="">
          <xdr:nvSpPr>
            <xdr:cNvPr id="159818" name="Option Button 29" hidden="1">
              <a:extLst>
                <a:ext uri="{63B3BB69-23CF-44E3-9099-C40C66FF867C}">
                  <a14:compatExt spid="_x0000_s159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32</xdr:row>
          <xdr:rowOff>190500</xdr:rowOff>
        </xdr:from>
        <xdr:to>
          <xdr:col>17</xdr:col>
          <xdr:colOff>114300</xdr:colOff>
          <xdr:row>34</xdr:row>
          <xdr:rowOff>30480</xdr:rowOff>
        </xdr:to>
        <xdr:sp macro="" textlink="">
          <xdr:nvSpPr>
            <xdr:cNvPr id="159819" name="Option Button 30" hidden="1">
              <a:extLst>
                <a:ext uri="{63B3BB69-23CF-44E3-9099-C40C66FF867C}">
                  <a14:compatExt spid="_x0000_s159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33</xdr:row>
          <xdr:rowOff>190500</xdr:rowOff>
        </xdr:from>
        <xdr:to>
          <xdr:col>17</xdr:col>
          <xdr:colOff>114300</xdr:colOff>
          <xdr:row>35</xdr:row>
          <xdr:rowOff>30480</xdr:rowOff>
        </xdr:to>
        <xdr:sp macro="" textlink="">
          <xdr:nvSpPr>
            <xdr:cNvPr id="159820" name="Option Button 31" hidden="1">
              <a:extLst>
                <a:ext uri="{63B3BB69-23CF-44E3-9099-C40C66FF867C}">
                  <a14:compatExt spid="_x0000_s15982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660400</xdr:colOff>
      <xdr:row>7</xdr:row>
      <xdr:rowOff>7620</xdr:rowOff>
    </xdr:from>
    <xdr:to>
      <xdr:col>9</xdr:col>
      <xdr:colOff>228600</xdr:colOff>
      <xdr:row>8</xdr:row>
      <xdr:rowOff>208280</xdr:rowOff>
    </xdr:to>
    <xdr:cxnSp macro="">
      <xdr:nvCxnSpPr>
        <xdr:cNvPr id="2" name="Elbow Connector 1"/>
        <xdr:cNvCxnSpPr/>
      </xdr:nvCxnSpPr>
      <xdr:spPr>
        <a:xfrm rot="5400000">
          <a:off x="4314190" y="1672590"/>
          <a:ext cx="414020" cy="467360"/>
        </a:xfrm>
        <a:prstGeom prst="bentConnector3">
          <a:avLst>
            <a:gd name="adj1" fmla="val 50000"/>
          </a:avLst>
        </a:prstGeom>
        <a:ln>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670560</xdr:colOff>
      <xdr:row>12</xdr:row>
      <xdr:rowOff>7620</xdr:rowOff>
    </xdr:from>
    <xdr:to>
      <xdr:col>8</xdr:col>
      <xdr:colOff>670560</xdr:colOff>
      <xdr:row>13</xdr:row>
      <xdr:rowOff>0</xdr:rowOff>
    </xdr:to>
    <xdr:cxnSp macro="">
      <xdr:nvCxnSpPr>
        <xdr:cNvPr id="3" name="Straight Connector 2"/>
        <xdr:cNvCxnSpPr/>
      </xdr:nvCxnSpPr>
      <xdr:spPr>
        <a:xfrm>
          <a:off x="4297680" y="2766060"/>
          <a:ext cx="0" cy="20574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15240</xdr:colOff>
          <xdr:row>4</xdr:row>
          <xdr:rowOff>0</xdr:rowOff>
        </xdr:from>
        <xdr:to>
          <xdr:col>17</xdr:col>
          <xdr:colOff>114300</xdr:colOff>
          <xdr:row>5</xdr:row>
          <xdr:rowOff>53340</xdr:rowOff>
        </xdr:to>
        <xdr:sp macro="" textlink="">
          <xdr:nvSpPr>
            <xdr:cNvPr id="180225" name="Option Button 1" hidden="1">
              <a:extLst>
                <a:ext uri="{63B3BB69-23CF-44E3-9099-C40C66FF867C}">
                  <a14:compatExt spid="_x0000_s180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83820</xdr:rowOff>
        </xdr:from>
        <xdr:to>
          <xdr:col>20</xdr:col>
          <xdr:colOff>594360</xdr:colOff>
          <xdr:row>19</xdr:row>
          <xdr:rowOff>76200</xdr:rowOff>
        </xdr:to>
        <xdr:sp macro="" textlink="">
          <xdr:nvSpPr>
            <xdr:cNvPr id="180226" name="SubmitButton" hidden="1">
              <a:extLst>
                <a:ext uri="{63B3BB69-23CF-44E3-9099-C40C66FF867C}">
                  <a14:compatExt spid="_x0000_s1802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4</xdr:row>
          <xdr:rowOff>205740</xdr:rowOff>
        </xdr:from>
        <xdr:to>
          <xdr:col>17</xdr:col>
          <xdr:colOff>114300</xdr:colOff>
          <xdr:row>6</xdr:row>
          <xdr:rowOff>38100</xdr:rowOff>
        </xdr:to>
        <xdr:sp macro="" textlink="">
          <xdr:nvSpPr>
            <xdr:cNvPr id="180227" name="Option Button 2" hidden="1">
              <a:extLst>
                <a:ext uri="{63B3BB69-23CF-44E3-9099-C40C66FF867C}">
                  <a14:compatExt spid="_x0000_s180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6</xdr:row>
          <xdr:rowOff>7620</xdr:rowOff>
        </xdr:from>
        <xdr:to>
          <xdr:col>17</xdr:col>
          <xdr:colOff>106680</xdr:colOff>
          <xdr:row>7</xdr:row>
          <xdr:rowOff>53340</xdr:rowOff>
        </xdr:to>
        <xdr:sp macro="" textlink="">
          <xdr:nvSpPr>
            <xdr:cNvPr id="180228" name="Option Button 3" hidden="1">
              <a:extLst>
                <a:ext uri="{63B3BB69-23CF-44E3-9099-C40C66FF867C}">
                  <a14:compatExt spid="_x0000_s180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7</xdr:row>
          <xdr:rowOff>0</xdr:rowOff>
        </xdr:from>
        <xdr:to>
          <xdr:col>17</xdr:col>
          <xdr:colOff>114300</xdr:colOff>
          <xdr:row>8</xdr:row>
          <xdr:rowOff>53340</xdr:rowOff>
        </xdr:to>
        <xdr:sp macro="" textlink="">
          <xdr:nvSpPr>
            <xdr:cNvPr id="180229" name="Option Button 4" hidden="1">
              <a:extLst>
                <a:ext uri="{63B3BB69-23CF-44E3-9099-C40C66FF867C}">
                  <a14:compatExt spid="_x0000_s180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8</xdr:row>
          <xdr:rowOff>0</xdr:rowOff>
        </xdr:from>
        <xdr:to>
          <xdr:col>17</xdr:col>
          <xdr:colOff>114300</xdr:colOff>
          <xdr:row>9</xdr:row>
          <xdr:rowOff>53340</xdr:rowOff>
        </xdr:to>
        <xdr:sp macro="" textlink="">
          <xdr:nvSpPr>
            <xdr:cNvPr id="180230" name="Option Button 5" hidden="1">
              <a:extLst>
                <a:ext uri="{63B3BB69-23CF-44E3-9099-C40C66FF867C}">
                  <a14:compatExt spid="_x0000_s180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9</xdr:row>
          <xdr:rowOff>0</xdr:rowOff>
        </xdr:from>
        <xdr:to>
          <xdr:col>17</xdr:col>
          <xdr:colOff>114300</xdr:colOff>
          <xdr:row>10</xdr:row>
          <xdr:rowOff>53340</xdr:rowOff>
        </xdr:to>
        <xdr:sp macro="" textlink="">
          <xdr:nvSpPr>
            <xdr:cNvPr id="180231" name="Option Button 6" hidden="1">
              <a:extLst>
                <a:ext uri="{63B3BB69-23CF-44E3-9099-C40C66FF867C}">
                  <a14:compatExt spid="_x0000_s180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0</xdr:rowOff>
        </xdr:from>
        <xdr:to>
          <xdr:col>17</xdr:col>
          <xdr:colOff>114300</xdr:colOff>
          <xdr:row>11</xdr:row>
          <xdr:rowOff>53340</xdr:rowOff>
        </xdr:to>
        <xdr:sp macro="" textlink="">
          <xdr:nvSpPr>
            <xdr:cNvPr id="180232" name="Option Button 7" hidden="1">
              <a:extLst>
                <a:ext uri="{63B3BB69-23CF-44E3-9099-C40C66FF867C}">
                  <a14:compatExt spid="_x0000_s180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213360</xdr:rowOff>
        </xdr:from>
        <xdr:to>
          <xdr:col>17</xdr:col>
          <xdr:colOff>114300</xdr:colOff>
          <xdr:row>12</xdr:row>
          <xdr:rowOff>53340</xdr:rowOff>
        </xdr:to>
        <xdr:sp macro="" textlink="">
          <xdr:nvSpPr>
            <xdr:cNvPr id="180233" name="Option Button 8" hidden="1">
              <a:extLst>
                <a:ext uri="{63B3BB69-23CF-44E3-9099-C40C66FF867C}">
                  <a14:compatExt spid="_x0000_s180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198120</xdr:rowOff>
        </xdr:from>
        <xdr:to>
          <xdr:col>17</xdr:col>
          <xdr:colOff>114300</xdr:colOff>
          <xdr:row>13</xdr:row>
          <xdr:rowOff>38100</xdr:rowOff>
        </xdr:to>
        <xdr:sp macro="" textlink="">
          <xdr:nvSpPr>
            <xdr:cNvPr id="180234" name="Option Button 9" hidden="1">
              <a:extLst>
                <a:ext uri="{63B3BB69-23CF-44E3-9099-C40C66FF867C}">
                  <a14:compatExt spid="_x0000_s180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12</xdr:row>
          <xdr:rowOff>205740</xdr:rowOff>
        </xdr:from>
        <xdr:to>
          <xdr:col>17</xdr:col>
          <xdr:colOff>114300</xdr:colOff>
          <xdr:row>14</xdr:row>
          <xdr:rowOff>45720</xdr:rowOff>
        </xdr:to>
        <xdr:sp macro="" textlink="">
          <xdr:nvSpPr>
            <xdr:cNvPr id="180235" name="Option Button 10" hidden="1">
              <a:extLst>
                <a:ext uri="{63B3BB69-23CF-44E3-9099-C40C66FF867C}">
                  <a14:compatExt spid="_x0000_s180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13</xdr:row>
          <xdr:rowOff>198120</xdr:rowOff>
        </xdr:from>
        <xdr:to>
          <xdr:col>17</xdr:col>
          <xdr:colOff>114300</xdr:colOff>
          <xdr:row>15</xdr:row>
          <xdr:rowOff>38100</xdr:rowOff>
        </xdr:to>
        <xdr:sp macro="" textlink="">
          <xdr:nvSpPr>
            <xdr:cNvPr id="180236" name="Option Button 11" hidden="1">
              <a:extLst>
                <a:ext uri="{63B3BB69-23CF-44E3-9099-C40C66FF867C}">
                  <a14:compatExt spid="_x0000_s180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14</xdr:row>
          <xdr:rowOff>213360</xdr:rowOff>
        </xdr:from>
        <xdr:to>
          <xdr:col>17</xdr:col>
          <xdr:colOff>114300</xdr:colOff>
          <xdr:row>16</xdr:row>
          <xdr:rowOff>53340</xdr:rowOff>
        </xdr:to>
        <xdr:sp macro="" textlink="">
          <xdr:nvSpPr>
            <xdr:cNvPr id="180237" name="Option Button 12" hidden="1">
              <a:extLst>
                <a:ext uri="{63B3BB69-23CF-44E3-9099-C40C66FF867C}">
                  <a14:compatExt spid="_x0000_s180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15</xdr:row>
          <xdr:rowOff>198120</xdr:rowOff>
        </xdr:from>
        <xdr:to>
          <xdr:col>17</xdr:col>
          <xdr:colOff>114300</xdr:colOff>
          <xdr:row>17</xdr:row>
          <xdr:rowOff>38100</xdr:rowOff>
        </xdr:to>
        <xdr:sp macro="" textlink="">
          <xdr:nvSpPr>
            <xdr:cNvPr id="180238" name="Option Button 13" hidden="1">
              <a:extLst>
                <a:ext uri="{63B3BB69-23CF-44E3-9099-C40C66FF867C}">
                  <a14:compatExt spid="_x0000_s180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16</xdr:row>
          <xdr:rowOff>213360</xdr:rowOff>
        </xdr:from>
        <xdr:to>
          <xdr:col>17</xdr:col>
          <xdr:colOff>114300</xdr:colOff>
          <xdr:row>18</xdr:row>
          <xdr:rowOff>53340</xdr:rowOff>
        </xdr:to>
        <xdr:sp macro="" textlink="">
          <xdr:nvSpPr>
            <xdr:cNvPr id="180239" name="Option Button 14" hidden="1">
              <a:extLst>
                <a:ext uri="{63B3BB69-23CF-44E3-9099-C40C66FF867C}">
                  <a14:compatExt spid="_x0000_s180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17</xdr:row>
          <xdr:rowOff>198120</xdr:rowOff>
        </xdr:from>
        <xdr:to>
          <xdr:col>17</xdr:col>
          <xdr:colOff>114300</xdr:colOff>
          <xdr:row>19</xdr:row>
          <xdr:rowOff>38100</xdr:rowOff>
        </xdr:to>
        <xdr:sp macro="" textlink="">
          <xdr:nvSpPr>
            <xdr:cNvPr id="180240" name="Option Button 15" hidden="1">
              <a:extLst>
                <a:ext uri="{63B3BB69-23CF-44E3-9099-C40C66FF867C}">
                  <a14:compatExt spid="_x0000_s180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18</xdr:row>
          <xdr:rowOff>190500</xdr:rowOff>
        </xdr:from>
        <xdr:to>
          <xdr:col>17</xdr:col>
          <xdr:colOff>114300</xdr:colOff>
          <xdr:row>20</xdr:row>
          <xdr:rowOff>30480</xdr:rowOff>
        </xdr:to>
        <xdr:sp macro="" textlink="">
          <xdr:nvSpPr>
            <xdr:cNvPr id="180241" name="Option Button 16" hidden="1">
              <a:extLst>
                <a:ext uri="{63B3BB69-23CF-44E3-9099-C40C66FF867C}">
                  <a14:compatExt spid="_x0000_s18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19</xdr:row>
          <xdr:rowOff>205740</xdr:rowOff>
        </xdr:from>
        <xdr:to>
          <xdr:col>17</xdr:col>
          <xdr:colOff>114300</xdr:colOff>
          <xdr:row>21</xdr:row>
          <xdr:rowOff>45720</xdr:rowOff>
        </xdr:to>
        <xdr:sp macro="" textlink="">
          <xdr:nvSpPr>
            <xdr:cNvPr id="180242" name="Option Button 17" hidden="1">
              <a:extLst>
                <a:ext uri="{63B3BB69-23CF-44E3-9099-C40C66FF867C}">
                  <a14:compatExt spid="_x0000_s18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20</xdr:row>
          <xdr:rowOff>205740</xdr:rowOff>
        </xdr:from>
        <xdr:to>
          <xdr:col>17</xdr:col>
          <xdr:colOff>114300</xdr:colOff>
          <xdr:row>22</xdr:row>
          <xdr:rowOff>45720</xdr:rowOff>
        </xdr:to>
        <xdr:sp macro="" textlink="">
          <xdr:nvSpPr>
            <xdr:cNvPr id="180243" name="Option Button 18" hidden="1">
              <a:extLst>
                <a:ext uri="{63B3BB69-23CF-44E3-9099-C40C66FF867C}">
                  <a14:compatExt spid="_x0000_s18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21</xdr:row>
          <xdr:rowOff>198120</xdr:rowOff>
        </xdr:from>
        <xdr:to>
          <xdr:col>17</xdr:col>
          <xdr:colOff>114300</xdr:colOff>
          <xdr:row>23</xdr:row>
          <xdr:rowOff>38100</xdr:rowOff>
        </xdr:to>
        <xdr:sp macro="" textlink="">
          <xdr:nvSpPr>
            <xdr:cNvPr id="180244" name="Option Button 19" hidden="1">
              <a:extLst>
                <a:ext uri="{63B3BB69-23CF-44E3-9099-C40C66FF867C}">
                  <a14:compatExt spid="_x0000_s180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22</xdr:row>
          <xdr:rowOff>213360</xdr:rowOff>
        </xdr:from>
        <xdr:to>
          <xdr:col>17</xdr:col>
          <xdr:colOff>114300</xdr:colOff>
          <xdr:row>24</xdr:row>
          <xdr:rowOff>53340</xdr:rowOff>
        </xdr:to>
        <xdr:sp macro="" textlink="">
          <xdr:nvSpPr>
            <xdr:cNvPr id="180245" name="Option Button 20" hidden="1">
              <a:extLst>
                <a:ext uri="{63B3BB69-23CF-44E3-9099-C40C66FF867C}">
                  <a14:compatExt spid="_x0000_s180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23</xdr:row>
          <xdr:rowOff>198120</xdr:rowOff>
        </xdr:from>
        <xdr:to>
          <xdr:col>17</xdr:col>
          <xdr:colOff>114300</xdr:colOff>
          <xdr:row>25</xdr:row>
          <xdr:rowOff>38100</xdr:rowOff>
        </xdr:to>
        <xdr:sp macro="" textlink="">
          <xdr:nvSpPr>
            <xdr:cNvPr id="180246" name="Option Button 21" hidden="1">
              <a:extLst>
                <a:ext uri="{63B3BB69-23CF-44E3-9099-C40C66FF867C}">
                  <a14:compatExt spid="_x0000_s180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24</xdr:row>
          <xdr:rowOff>198120</xdr:rowOff>
        </xdr:from>
        <xdr:to>
          <xdr:col>17</xdr:col>
          <xdr:colOff>114300</xdr:colOff>
          <xdr:row>26</xdr:row>
          <xdr:rowOff>38100</xdr:rowOff>
        </xdr:to>
        <xdr:sp macro="" textlink="">
          <xdr:nvSpPr>
            <xdr:cNvPr id="180247" name="Option Button 22" hidden="1">
              <a:extLst>
                <a:ext uri="{63B3BB69-23CF-44E3-9099-C40C66FF867C}">
                  <a14:compatExt spid="_x0000_s180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25</xdr:row>
          <xdr:rowOff>205740</xdr:rowOff>
        </xdr:from>
        <xdr:to>
          <xdr:col>17</xdr:col>
          <xdr:colOff>114300</xdr:colOff>
          <xdr:row>27</xdr:row>
          <xdr:rowOff>45720</xdr:rowOff>
        </xdr:to>
        <xdr:sp macro="" textlink="">
          <xdr:nvSpPr>
            <xdr:cNvPr id="180248" name="Option Button 23" hidden="1">
              <a:extLst>
                <a:ext uri="{63B3BB69-23CF-44E3-9099-C40C66FF867C}">
                  <a14:compatExt spid="_x0000_s18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26</xdr:row>
          <xdr:rowOff>198120</xdr:rowOff>
        </xdr:from>
        <xdr:to>
          <xdr:col>17</xdr:col>
          <xdr:colOff>114300</xdr:colOff>
          <xdr:row>28</xdr:row>
          <xdr:rowOff>38100</xdr:rowOff>
        </xdr:to>
        <xdr:sp macro="" textlink="">
          <xdr:nvSpPr>
            <xdr:cNvPr id="180249" name="Option Button 24" hidden="1">
              <a:extLst>
                <a:ext uri="{63B3BB69-23CF-44E3-9099-C40C66FF867C}">
                  <a14:compatExt spid="_x0000_s18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27</xdr:row>
          <xdr:rowOff>190500</xdr:rowOff>
        </xdr:from>
        <xdr:to>
          <xdr:col>17</xdr:col>
          <xdr:colOff>114300</xdr:colOff>
          <xdr:row>29</xdr:row>
          <xdr:rowOff>30480</xdr:rowOff>
        </xdr:to>
        <xdr:sp macro="" textlink="">
          <xdr:nvSpPr>
            <xdr:cNvPr id="180250" name="Option Button 25" hidden="1">
              <a:extLst>
                <a:ext uri="{63B3BB69-23CF-44E3-9099-C40C66FF867C}">
                  <a14:compatExt spid="_x0000_s18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28</xdr:row>
          <xdr:rowOff>205740</xdr:rowOff>
        </xdr:from>
        <xdr:to>
          <xdr:col>17</xdr:col>
          <xdr:colOff>114300</xdr:colOff>
          <xdr:row>30</xdr:row>
          <xdr:rowOff>45720</xdr:rowOff>
        </xdr:to>
        <xdr:sp macro="" textlink="">
          <xdr:nvSpPr>
            <xdr:cNvPr id="180251" name="Option Button 26" hidden="1">
              <a:extLst>
                <a:ext uri="{63B3BB69-23CF-44E3-9099-C40C66FF867C}">
                  <a14:compatExt spid="_x0000_s18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29</xdr:row>
          <xdr:rowOff>205740</xdr:rowOff>
        </xdr:from>
        <xdr:to>
          <xdr:col>17</xdr:col>
          <xdr:colOff>114300</xdr:colOff>
          <xdr:row>31</xdr:row>
          <xdr:rowOff>45720</xdr:rowOff>
        </xdr:to>
        <xdr:sp macro="" textlink="">
          <xdr:nvSpPr>
            <xdr:cNvPr id="180252" name="Option Button 27" hidden="1">
              <a:extLst>
                <a:ext uri="{63B3BB69-23CF-44E3-9099-C40C66FF867C}">
                  <a14:compatExt spid="_x0000_s18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30</xdr:row>
          <xdr:rowOff>198120</xdr:rowOff>
        </xdr:from>
        <xdr:to>
          <xdr:col>17</xdr:col>
          <xdr:colOff>114300</xdr:colOff>
          <xdr:row>32</xdr:row>
          <xdr:rowOff>38100</xdr:rowOff>
        </xdr:to>
        <xdr:sp macro="" textlink="">
          <xdr:nvSpPr>
            <xdr:cNvPr id="180253" name="Option Button 28" hidden="1">
              <a:extLst>
                <a:ext uri="{63B3BB69-23CF-44E3-9099-C40C66FF867C}">
                  <a14:compatExt spid="_x0000_s18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31</xdr:row>
          <xdr:rowOff>190500</xdr:rowOff>
        </xdr:from>
        <xdr:to>
          <xdr:col>17</xdr:col>
          <xdr:colOff>114300</xdr:colOff>
          <xdr:row>33</xdr:row>
          <xdr:rowOff>30480</xdr:rowOff>
        </xdr:to>
        <xdr:sp macro="" textlink="">
          <xdr:nvSpPr>
            <xdr:cNvPr id="180254" name="Option Button 29" hidden="1">
              <a:extLst>
                <a:ext uri="{63B3BB69-23CF-44E3-9099-C40C66FF867C}">
                  <a14:compatExt spid="_x0000_s180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32</xdr:row>
          <xdr:rowOff>190500</xdr:rowOff>
        </xdr:from>
        <xdr:to>
          <xdr:col>17</xdr:col>
          <xdr:colOff>114300</xdr:colOff>
          <xdr:row>34</xdr:row>
          <xdr:rowOff>30480</xdr:rowOff>
        </xdr:to>
        <xdr:sp macro="" textlink="">
          <xdr:nvSpPr>
            <xdr:cNvPr id="180255" name="Option Button 30" hidden="1">
              <a:extLst>
                <a:ext uri="{63B3BB69-23CF-44E3-9099-C40C66FF867C}">
                  <a14:compatExt spid="_x0000_s180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33</xdr:row>
          <xdr:rowOff>190500</xdr:rowOff>
        </xdr:from>
        <xdr:to>
          <xdr:col>17</xdr:col>
          <xdr:colOff>114300</xdr:colOff>
          <xdr:row>35</xdr:row>
          <xdr:rowOff>30480</xdr:rowOff>
        </xdr:to>
        <xdr:sp macro="" textlink="">
          <xdr:nvSpPr>
            <xdr:cNvPr id="180256" name="Option Button 31" hidden="1">
              <a:extLst>
                <a:ext uri="{63B3BB69-23CF-44E3-9099-C40C66FF867C}">
                  <a14:compatExt spid="_x0000_s18025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sandcubed@gmail.com" TargetMode="External"/><Relationship Id="rId1" Type="http://schemas.openxmlformats.org/officeDocument/2006/relationships/hyperlink" Target="https://github.com/blacksandbox/money-buffer"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omments" Target="../comments1.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trlProp" Target="../ctrlProps/ctrlProp48.xml"/><Relationship Id="rId26" Type="http://schemas.openxmlformats.org/officeDocument/2006/relationships/ctrlProp" Target="../ctrlProps/ctrlProp56.xml"/><Relationship Id="rId3" Type="http://schemas.openxmlformats.org/officeDocument/2006/relationships/vmlDrawing" Target="../drawings/vmlDrawing3.vml"/><Relationship Id="rId21" Type="http://schemas.openxmlformats.org/officeDocument/2006/relationships/ctrlProp" Target="../ctrlProps/ctrlProp51.xml"/><Relationship Id="rId34" Type="http://schemas.openxmlformats.org/officeDocument/2006/relationships/ctrlProp" Target="../ctrlProps/ctrlProp64.x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5" Type="http://schemas.openxmlformats.org/officeDocument/2006/relationships/ctrlProp" Target="../ctrlProps/ctrlProp55.xml"/><Relationship Id="rId33" Type="http://schemas.openxmlformats.org/officeDocument/2006/relationships/ctrlProp" Target="../ctrlProps/ctrlProp63.xml"/><Relationship Id="rId2" Type="http://schemas.openxmlformats.org/officeDocument/2006/relationships/drawing" Target="../drawings/drawing3.xml"/><Relationship Id="rId16" Type="http://schemas.openxmlformats.org/officeDocument/2006/relationships/ctrlProp" Target="../ctrlProps/ctrlProp46.xml"/><Relationship Id="rId20" Type="http://schemas.openxmlformats.org/officeDocument/2006/relationships/ctrlProp" Target="../ctrlProps/ctrlProp50.xml"/><Relationship Id="rId29" Type="http://schemas.openxmlformats.org/officeDocument/2006/relationships/ctrlProp" Target="../ctrlProps/ctrlProp59.xml"/><Relationship Id="rId1" Type="http://schemas.openxmlformats.org/officeDocument/2006/relationships/printerSettings" Target="../printerSettings/printerSettings3.bin"/><Relationship Id="rId6" Type="http://schemas.openxmlformats.org/officeDocument/2006/relationships/ctrlProp" Target="../ctrlProps/ctrlProp36.xml"/><Relationship Id="rId11" Type="http://schemas.openxmlformats.org/officeDocument/2006/relationships/ctrlProp" Target="../ctrlProps/ctrlProp41.xml"/><Relationship Id="rId24" Type="http://schemas.openxmlformats.org/officeDocument/2006/relationships/ctrlProp" Target="../ctrlProps/ctrlProp54.xml"/><Relationship Id="rId32" Type="http://schemas.openxmlformats.org/officeDocument/2006/relationships/ctrlProp" Target="../ctrlProps/ctrlProp62.xml"/><Relationship Id="rId5" Type="http://schemas.openxmlformats.org/officeDocument/2006/relationships/ctrlProp" Target="../ctrlProps/ctrlProp35.xml"/><Relationship Id="rId15" Type="http://schemas.openxmlformats.org/officeDocument/2006/relationships/ctrlProp" Target="../ctrlProps/ctrlProp45.xml"/><Relationship Id="rId23" Type="http://schemas.openxmlformats.org/officeDocument/2006/relationships/ctrlProp" Target="../ctrlProps/ctrlProp53.xml"/><Relationship Id="rId28" Type="http://schemas.openxmlformats.org/officeDocument/2006/relationships/ctrlProp" Target="../ctrlProps/ctrlProp58.xml"/><Relationship Id="rId36" Type="http://schemas.openxmlformats.org/officeDocument/2006/relationships/comments" Target="../comments2.xml"/><Relationship Id="rId10" Type="http://schemas.openxmlformats.org/officeDocument/2006/relationships/ctrlProp" Target="../ctrlProps/ctrlProp40.xml"/><Relationship Id="rId19" Type="http://schemas.openxmlformats.org/officeDocument/2006/relationships/ctrlProp" Target="../ctrlProps/ctrlProp49.xml"/><Relationship Id="rId31" Type="http://schemas.openxmlformats.org/officeDocument/2006/relationships/ctrlProp" Target="../ctrlProps/ctrlProp61.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 Id="rId22" Type="http://schemas.openxmlformats.org/officeDocument/2006/relationships/ctrlProp" Target="../ctrlProps/ctrlProp52.xml"/><Relationship Id="rId27" Type="http://schemas.openxmlformats.org/officeDocument/2006/relationships/ctrlProp" Target="../ctrlProps/ctrlProp57.xml"/><Relationship Id="rId30" Type="http://schemas.openxmlformats.org/officeDocument/2006/relationships/ctrlProp" Target="../ctrlProps/ctrlProp60.xml"/><Relationship Id="rId35" Type="http://schemas.openxmlformats.org/officeDocument/2006/relationships/ctrlProp" Target="../ctrlProps/ctrlProp6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H9"/>
  <sheetViews>
    <sheetView workbookViewId="0">
      <selection activeCell="F13" sqref="F13"/>
    </sheetView>
  </sheetViews>
  <sheetFormatPr defaultColWidth="11.19921875" defaultRowHeight="17.399999999999999"/>
  <sheetData>
    <row r="2" spans="2:8" ht="23.4">
      <c r="B2" s="77" t="s">
        <v>70</v>
      </c>
      <c r="E2" t="s">
        <v>126</v>
      </c>
    </row>
    <row r="3" spans="2:8" ht="4.95" customHeight="1">
      <c r="B3" s="78"/>
      <c r="C3" s="79"/>
      <c r="D3" s="79"/>
      <c r="E3" s="79"/>
    </row>
    <row r="5" spans="2:8" ht="21.6">
      <c r="B5" s="74" t="s">
        <v>69</v>
      </c>
      <c r="F5" s="74" t="s">
        <v>64</v>
      </c>
      <c r="H5" s="72"/>
    </row>
    <row r="6" spans="2:8">
      <c r="B6" s="73" t="s">
        <v>66</v>
      </c>
      <c r="F6" s="75" t="s">
        <v>65</v>
      </c>
      <c r="H6" s="72"/>
    </row>
    <row r="8" spans="2:8">
      <c r="B8" s="76" t="s">
        <v>67</v>
      </c>
    </row>
    <row r="9" spans="2:8">
      <c r="B9" s="76" t="s">
        <v>68</v>
      </c>
    </row>
  </sheetData>
  <phoneticPr fontId="14" type="noConversion"/>
  <hyperlinks>
    <hyperlink ref="F6" r:id="rId1"/>
    <hyperlink ref="B6"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H38"/>
  <sheetViews>
    <sheetView workbookViewId="0">
      <selection activeCell="I16" sqref="I16"/>
    </sheetView>
  </sheetViews>
  <sheetFormatPr defaultColWidth="8.796875" defaultRowHeight="17.399999999999999"/>
  <cols>
    <col min="2" max="2" width="13.296875" customWidth="1"/>
    <col min="3" max="3" width="10.19921875" customWidth="1"/>
    <col min="4" max="4" width="11" customWidth="1"/>
  </cols>
  <sheetData>
    <row r="2" spans="2:3" ht="25.05" customHeight="1">
      <c r="B2" s="112" t="s">
        <v>96</v>
      </c>
      <c r="C2" s="112"/>
    </row>
    <row r="18" spans="2:8" ht="25.2">
      <c r="B18" s="112" t="s">
        <v>95</v>
      </c>
      <c r="C18" s="112"/>
    </row>
    <row r="20" spans="2:8">
      <c r="B20" s="1" t="s">
        <v>19</v>
      </c>
      <c r="C20" s="15" t="s">
        <v>18</v>
      </c>
      <c r="D20" s="1" t="s">
        <v>25</v>
      </c>
      <c r="E20" s="1" t="s">
        <v>28</v>
      </c>
      <c r="F20" s="1" t="s">
        <v>31</v>
      </c>
      <c r="H20" t="s">
        <v>53</v>
      </c>
    </row>
    <row r="21" spans="2:8">
      <c r="B21">
        <v>1</v>
      </c>
      <c r="C21">
        <v>31</v>
      </c>
      <c r="D21" t="s">
        <v>26</v>
      </c>
      <c r="E21">
        <v>1</v>
      </c>
      <c r="H21" t="s">
        <v>36</v>
      </c>
    </row>
    <row r="22" spans="2:8">
      <c r="B22">
        <v>2</v>
      </c>
      <c r="C22">
        <v>28</v>
      </c>
      <c r="D22" t="s">
        <v>27</v>
      </c>
      <c r="E22">
        <v>0</v>
      </c>
      <c r="F22" s="54" t="s">
        <v>38</v>
      </c>
    </row>
    <row r="23" spans="2:8">
      <c r="B23">
        <v>3</v>
      </c>
      <c r="C23">
        <v>31</v>
      </c>
      <c r="E23">
        <v>-1</v>
      </c>
      <c r="F23" s="55" t="s">
        <v>37</v>
      </c>
    </row>
    <row r="24" spans="2:8" ht="19.2">
      <c r="B24">
        <v>4</v>
      </c>
      <c r="C24">
        <v>30</v>
      </c>
      <c r="F24" s="56" t="s">
        <v>46</v>
      </c>
      <c r="H24" t="s">
        <v>45</v>
      </c>
    </row>
    <row r="25" spans="2:8" ht="19.2">
      <c r="B25">
        <v>5</v>
      </c>
      <c r="C25">
        <v>31</v>
      </c>
      <c r="F25" s="56" t="s">
        <v>47</v>
      </c>
    </row>
    <row r="26" spans="2:8">
      <c r="B26">
        <v>6</v>
      </c>
      <c r="C26">
        <v>30</v>
      </c>
      <c r="F26" s="54" t="s">
        <v>48</v>
      </c>
    </row>
    <row r="27" spans="2:8">
      <c r="B27">
        <v>7</v>
      </c>
      <c r="C27">
        <v>31</v>
      </c>
      <c r="F27" s="54" t="s">
        <v>43</v>
      </c>
    </row>
    <row r="28" spans="2:8">
      <c r="B28">
        <v>8</v>
      </c>
      <c r="C28">
        <v>31</v>
      </c>
      <c r="F28" s="57" t="s">
        <v>41</v>
      </c>
    </row>
    <row r="29" spans="2:8" ht="19.2">
      <c r="B29">
        <v>9</v>
      </c>
      <c r="C29">
        <v>30</v>
      </c>
      <c r="F29" s="56" t="s">
        <v>44</v>
      </c>
    </row>
    <row r="30" spans="2:8" ht="19.2">
      <c r="B30">
        <v>10</v>
      </c>
      <c r="C30">
        <v>31</v>
      </c>
      <c r="F30" s="58" t="s">
        <v>51</v>
      </c>
    </row>
    <row r="31" spans="2:8" ht="19.2">
      <c r="B31">
        <v>11</v>
      </c>
      <c r="C31">
        <v>30</v>
      </c>
      <c r="F31" s="56" t="s">
        <v>39</v>
      </c>
    </row>
    <row r="32" spans="2:8" ht="19.2">
      <c r="B32">
        <v>12</v>
      </c>
      <c r="C32">
        <v>31</v>
      </c>
      <c r="F32" s="56" t="s">
        <v>40</v>
      </c>
    </row>
    <row r="33" spans="6:6" ht="19.2">
      <c r="F33" s="56" t="s">
        <v>35</v>
      </c>
    </row>
    <row r="34" spans="6:6" ht="19.2">
      <c r="F34" s="58" t="s">
        <v>42</v>
      </c>
    </row>
    <row r="35" spans="6:6" ht="19.2">
      <c r="F35" s="56" t="s">
        <v>78</v>
      </c>
    </row>
    <row r="36" spans="6:6" ht="19.2">
      <c r="F36" s="56" t="s">
        <v>49</v>
      </c>
    </row>
    <row r="37" spans="6:6" ht="19.2">
      <c r="F37" s="58" t="s">
        <v>50</v>
      </c>
    </row>
    <row r="38" spans="6:6" ht="19.2">
      <c r="F38" s="56" t="s">
        <v>52</v>
      </c>
    </row>
  </sheetData>
  <mergeCells count="2">
    <mergeCell ref="B2:C2"/>
    <mergeCell ref="B18:C18"/>
  </mergeCells>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autoFill="0" autoPict="0" macro="[0]!startNewSheet">
                <anchor moveWithCells="1" sizeWithCells="1">
                  <from>
                    <xdr:col>1</xdr:col>
                    <xdr:colOff>175260</xdr:colOff>
                    <xdr:row>3</xdr:row>
                    <xdr:rowOff>91440</xdr:rowOff>
                  </from>
                  <to>
                    <xdr:col>3</xdr:col>
                    <xdr:colOff>327660</xdr:colOff>
                    <xdr:row>7</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D38"/>
  <sheetViews>
    <sheetView tabSelected="1" topLeftCell="I1" zoomScaleNormal="100" workbookViewId="0">
      <selection activeCell="Y5" sqref="Y5"/>
    </sheetView>
  </sheetViews>
  <sheetFormatPr defaultColWidth="8.796875" defaultRowHeight="17.399999999999999"/>
  <cols>
    <col min="1" max="1" width="4" customWidth="1"/>
    <col min="2" max="2" width="4.796875" customWidth="1"/>
    <col min="3" max="3" width="4.296875" customWidth="1"/>
    <col min="4" max="4" width="3.796875" customWidth="1"/>
    <col min="5" max="5" width="10.296875" customWidth="1"/>
    <col min="6" max="6" width="9.296875" customWidth="1"/>
    <col min="7" max="7" width="3.296875" customWidth="1"/>
    <col min="8" max="8" width="7.796875" customWidth="1"/>
    <col min="9" max="9" width="11.796875" customWidth="1"/>
    <col min="10" max="10" width="10.5" customWidth="1"/>
    <col min="11" max="11" width="5.296875" customWidth="1"/>
    <col min="12" max="12" width="3.5" customWidth="1"/>
    <col min="13" max="13" width="12.19921875" customWidth="1"/>
    <col min="14" max="14" width="9.19921875" customWidth="1"/>
    <col min="16" max="17" width="3.796875" customWidth="1"/>
    <col min="18" max="18" width="11.69921875" customWidth="1"/>
    <col min="20" max="20" width="7.296875" customWidth="1"/>
    <col min="21" max="21" width="11.69921875" customWidth="1"/>
    <col min="30" max="30" width="6.19921875" customWidth="1"/>
  </cols>
  <sheetData>
    <row r="1" spans="1:30" ht="31.2" thickBot="1">
      <c r="C1" s="124" t="s">
        <v>30</v>
      </c>
      <c r="D1" s="124"/>
      <c r="E1" s="124"/>
      <c r="F1" s="31">
        <v>11</v>
      </c>
      <c r="G1" s="28" t="s">
        <v>20</v>
      </c>
      <c r="H1" s="32">
        <v>2017</v>
      </c>
      <c r="M1" s="34" t="s">
        <v>5</v>
      </c>
      <c r="N1" s="50" t="s">
        <v>91</v>
      </c>
      <c r="O1" s="30"/>
      <c r="P1" s="30"/>
      <c r="Q1" s="30"/>
      <c r="R1" s="94" t="s">
        <v>90</v>
      </c>
    </row>
    <row r="2" spans="1:30" ht="17.55" customHeight="1">
      <c r="M2" s="33">
        <f>VLOOKUP(F1,_controls!B21:C32,2,TRUE)</f>
        <v>30</v>
      </c>
      <c r="N2" s="44">
        <v>50</v>
      </c>
      <c r="R2" s="93">
        <f>J7-IF(ISNUMBER(J11),J11,J12)+IF(ISNUMBER(J15),J15,0)</f>
        <v>1500</v>
      </c>
      <c r="T2" s="130" t="s">
        <v>72</v>
      </c>
      <c r="U2" s="131"/>
      <c r="AB2" s="136" t="s">
        <v>102</v>
      </c>
      <c r="AC2" s="136"/>
      <c r="AD2" s="136"/>
    </row>
    <row r="3" spans="1:30" ht="17.55" customHeight="1">
      <c r="B3" s="76" t="s">
        <v>54</v>
      </c>
      <c r="C3" s="1" t="s">
        <v>77</v>
      </c>
      <c r="F3" s="1"/>
      <c r="G3" s="1"/>
      <c r="I3" s="115" t="s">
        <v>82</v>
      </c>
      <c r="J3" s="116"/>
      <c r="T3" s="132"/>
      <c r="U3" s="133"/>
      <c r="AB3" s="136">
        <v>2</v>
      </c>
      <c r="AC3" s="136"/>
      <c r="AD3" s="136"/>
    </row>
    <row r="4" spans="1:30" ht="16.95" customHeight="1">
      <c r="A4" s="65"/>
      <c r="B4" s="51" t="s">
        <v>26</v>
      </c>
      <c r="C4" s="83" t="str">
        <f>MonthVal&amp;"/"</f>
        <v>11/</v>
      </c>
      <c r="D4" s="70">
        <v>20</v>
      </c>
      <c r="E4" s="38" t="s">
        <v>71</v>
      </c>
      <c r="F4" s="61">
        <v>272.18</v>
      </c>
      <c r="G4" s="39">
        <v>0</v>
      </c>
      <c r="I4" s="1" t="s">
        <v>24</v>
      </c>
      <c r="J4" s="43">
        <v>4200</v>
      </c>
      <c r="L4" s="60"/>
      <c r="M4" s="36" t="s">
        <v>3</v>
      </c>
      <c r="N4" s="4" t="s">
        <v>21</v>
      </c>
      <c r="O4" s="36" t="s">
        <v>4</v>
      </c>
      <c r="P4" s="36"/>
      <c r="Q4" s="36"/>
      <c r="R4" s="37" t="s">
        <v>22</v>
      </c>
      <c r="T4" s="134">
        <f>IF(ISNUMBER(R35),R35,IF(ISNUMBER(R34),R34,IF(ISNUMBER(R33),R33,IF(ISNUMBER(R32),R32,"ERROR"))))</f>
        <v>271.80000000000007</v>
      </c>
      <c r="U4" s="135"/>
      <c r="AB4" s="136" t="s">
        <v>103</v>
      </c>
      <c r="AC4" s="136" t="s">
        <v>104</v>
      </c>
      <c r="AD4" s="136" t="s">
        <v>105</v>
      </c>
    </row>
    <row r="5" spans="1:30" ht="16.95" customHeight="1">
      <c r="A5" s="65"/>
      <c r="B5" s="51" t="s">
        <v>27</v>
      </c>
      <c r="C5" s="83" t="str">
        <f t="shared" ref="C5:C14" si="0">MonthVal&amp;"/"</f>
        <v>11/</v>
      </c>
      <c r="D5" s="71">
        <v>9</v>
      </c>
      <c r="E5" s="38" t="s">
        <v>1</v>
      </c>
      <c r="F5" s="62">
        <v>154.41</v>
      </c>
      <c r="G5" s="39">
        <v>0</v>
      </c>
      <c r="I5" s="35" t="s">
        <v>83</v>
      </c>
      <c r="J5" s="49" t="str">
        <f>"$"&amp;SUM(F4:F16)</f>
        <v>$1916.63</v>
      </c>
      <c r="K5" s="41"/>
      <c r="L5" s="84" t="str">
        <f t="shared" ref="L5:L35" si="1">IF( AND(ISERROR(MATCH(ROW(FH1)+0,$D$4:$D$14,0))=FALSE, IF(ISERROR(MATCH(ROW(FH1)+0,$D$4:$D$14,0))=FALSE, INDEX($B$4:$B$14,MATCH(ROW(FH1)+0,$D$4:$D$14,0))="Ma",FALSE) ),"★",          IF(ISERROR(MATCH(ROW(FH1)+0,$D$19:$D$23,0))=FALSE,INDEX($B$19:$B$23,MATCH(ROW(FH1)+0,$D$19:$D$23,0)),"")         )</f>
        <v/>
      </c>
      <c r="M5" s="29">
        <f>IF(MONTH(DATE(YearVal,MonthVal,ROW(FH1)))&gt;MonthVal,"",DATE(YearVal,MonthVal,ROW(FH1)))</f>
        <v>43040</v>
      </c>
      <c r="N5" s="53" t="str">
        <f>"+$"&amp;ROUND(R2/M2,2)</f>
        <v>+$50</v>
      </c>
      <c r="O5" s="45">
        <f>0</f>
        <v>0</v>
      </c>
      <c r="P5" s="45" t="s">
        <v>128</v>
      </c>
      <c r="Q5" s="45"/>
      <c r="R5" s="40">
        <f>R2-IF(ISNUMBER(O5),O5,N5)</f>
        <v>1500</v>
      </c>
      <c r="AB5" s="136">
        <v>1</v>
      </c>
      <c r="AC5" s="136">
        <v>0</v>
      </c>
      <c r="AD5" s="136"/>
    </row>
    <row r="6" spans="1:30" ht="16.95" customHeight="1" thickBot="1">
      <c r="A6" s="65"/>
      <c r="B6" s="51" t="s">
        <v>26</v>
      </c>
      <c r="C6" s="83" t="str">
        <f t="shared" si="0"/>
        <v>11/</v>
      </c>
      <c r="D6" s="71">
        <v>15</v>
      </c>
      <c r="E6" s="38" t="s">
        <v>0</v>
      </c>
      <c r="F6" s="63">
        <v>67.89</v>
      </c>
      <c r="G6" s="39">
        <v>0</v>
      </c>
      <c r="I6" s="1" t="s">
        <v>93</v>
      </c>
      <c r="K6" s="10"/>
      <c r="L6" s="84" t="str">
        <f t="shared" si="1"/>
        <v/>
      </c>
      <c r="M6" s="29">
        <f t="shared" ref="M6:M35" si="2">IF(MONTH(DATE(YearVal,MonthVal,ROW(FH2)))&gt;MonthVal,"",DATE(YearVal,MonthVal,ROW(FH2)))</f>
        <v>43041</v>
      </c>
      <c r="N6" s="52" t="str">
        <f t="shared" ref="N6:N35" si="3">IF(M6="","",MoneyBuffer)</f>
        <v>+$50</v>
      </c>
      <c r="O6" s="46">
        <f>10.5+1.35+2.65+0.1</f>
        <v>14.6</v>
      </c>
      <c r="P6" s="46"/>
      <c r="Q6" s="46"/>
      <c r="R6" s="40">
        <f>IF(M6="","",R5-IF(ISNUMBER(O6),O6,N6))</f>
        <v>1485.4</v>
      </c>
      <c r="T6" s="109" t="s">
        <v>122</v>
      </c>
      <c r="AB6" s="136">
        <v>2</v>
      </c>
      <c r="AC6" s="136" t="s">
        <v>124</v>
      </c>
      <c r="AD6" s="136" t="s">
        <v>125</v>
      </c>
    </row>
    <row r="7" spans="1:30" ht="16.95" customHeight="1">
      <c r="A7" s="65"/>
      <c r="B7" s="51" t="s">
        <v>27</v>
      </c>
      <c r="C7" s="83" t="str">
        <f t="shared" si="0"/>
        <v>11/</v>
      </c>
      <c r="D7" s="71">
        <v>27</v>
      </c>
      <c r="E7" s="38" t="s">
        <v>23</v>
      </c>
      <c r="F7" s="62">
        <v>1055</v>
      </c>
      <c r="G7" s="39">
        <v>0</v>
      </c>
      <c r="I7" s="42"/>
      <c r="J7" s="95" t="str">
        <f>"$"&amp;(J4-J5)</f>
        <v>$2283.37</v>
      </c>
      <c r="L7" s="84" t="str">
        <f t="shared" si="1"/>
        <v/>
      </c>
      <c r="M7" s="29">
        <f t="shared" si="2"/>
        <v>43042</v>
      </c>
      <c r="N7" s="47" t="str">
        <f t="shared" si="3"/>
        <v>+$50</v>
      </c>
      <c r="O7" s="45">
        <f>0</f>
        <v>0</v>
      </c>
      <c r="P7" s="45"/>
      <c r="Q7" s="45"/>
      <c r="R7" s="40">
        <f t="shared" ref="R7:R35" si="4">IF(M7="","",R6-IF(ISNUMBER(O7),O7,N7))</f>
        <v>1485.4</v>
      </c>
      <c r="T7" s="110" t="s">
        <v>100</v>
      </c>
      <c r="U7" s="111" t="s">
        <v>101</v>
      </c>
      <c r="AB7" s="136">
        <v>3</v>
      </c>
      <c r="AC7" s="136">
        <v>0</v>
      </c>
      <c r="AD7" s="136"/>
    </row>
    <row r="8" spans="1:30" ht="16.95" customHeight="1">
      <c r="A8" s="65"/>
      <c r="B8" s="51" t="s">
        <v>27</v>
      </c>
      <c r="C8" s="83" t="str">
        <f t="shared" si="0"/>
        <v>11/</v>
      </c>
      <c r="D8" s="71">
        <v>25</v>
      </c>
      <c r="E8" s="38" t="s">
        <v>33</v>
      </c>
      <c r="F8" s="62">
        <v>97.5</v>
      </c>
      <c r="G8" s="39">
        <v>0</v>
      </c>
      <c r="L8" s="84" t="str">
        <f t="shared" si="1"/>
        <v/>
      </c>
      <c r="M8" s="29">
        <f t="shared" si="2"/>
        <v>43043</v>
      </c>
      <c r="N8" s="47" t="str">
        <f t="shared" si="3"/>
        <v>+$50</v>
      </c>
      <c r="O8" s="46">
        <f>0</f>
        <v>0</v>
      </c>
      <c r="P8" s="46"/>
      <c r="Q8" s="46"/>
      <c r="R8" s="40">
        <f t="shared" si="4"/>
        <v>1485.4</v>
      </c>
      <c r="T8" s="137">
        <v>10.5</v>
      </c>
      <c r="U8" s="141" t="s">
        <v>111</v>
      </c>
      <c r="V8" s="142"/>
      <c r="W8" s="142"/>
      <c r="AB8" s="136">
        <v>4</v>
      </c>
      <c r="AC8" s="136">
        <v>0</v>
      </c>
      <c r="AD8" s="136"/>
    </row>
    <row r="9" spans="1:30" ht="16.95" customHeight="1" thickBot="1">
      <c r="A9" s="65"/>
      <c r="B9" s="51" t="s">
        <v>26</v>
      </c>
      <c r="C9" s="83" t="str">
        <f t="shared" si="0"/>
        <v>11/</v>
      </c>
      <c r="D9" s="71">
        <v>18</v>
      </c>
      <c r="E9" s="38" t="s">
        <v>29</v>
      </c>
      <c r="F9" s="64">
        <v>85.65</v>
      </c>
      <c r="G9" s="39">
        <v>0</v>
      </c>
      <c r="L9" s="84" t="str">
        <f t="shared" si="1"/>
        <v/>
      </c>
      <c r="M9" s="29">
        <f t="shared" si="2"/>
        <v>43044</v>
      </c>
      <c r="N9" s="47" t="str">
        <f t="shared" si="3"/>
        <v>+$50</v>
      </c>
      <c r="O9" s="45">
        <f>7+1.5</f>
        <v>8.5</v>
      </c>
      <c r="P9" s="45"/>
      <c r="Q9" s="45"/>
      <c r="R9" s="40">
        <f t="shared" si="4"/>
        <v>1476.9</v>
      </c>
      <c r="T9" s="138">
        <v>1.35</v>
      </c>
      <c r="U9" s="141" t="s">
        <v>112</v>
      </c>
      <c r="V9" s="143"/>
      <c r="W9" s="143"/>
      <c r="AB9" s="136">
        <v>5</v>
      </c>
      <c r="AC9" s="136" t="s">
        <v>118</v>
      </c>
      <c r="AD9" s="136" t="s">
        <v>119</v>
      </c>
    </row>
    <row r="10" spans="1:30" ht="16.95" customHeight="1">
      <c r="A10" s="65"/>
      <c r="B10" s="51" t="s">
        <v>26</v>
      </c>
      <c r="C10" s="83" t="str">
        <f t="shared" si="0"/>
        <v>11/</v>
      </c>
      <c r="D10" s="71">
        <v>16</v>
      </c>
      <c r="E10" s="38" t="s">
        <v>2</v>
      </c>
      <c r="F10" s="62">
        <v>140</v>
      </c>
      <c r="G10" s="39">
        <v>0</v>
      </c>
      <c r="I10" s="117" t="s">
        <v>92</v>
      </c>
      <c r="J10" s="118"/>
      <c r="L10" s="84" t="str">
        <f t="shared" si="1"/>
        <v/>
      </c>
      <c r="M10" s="29">
        <f t="shared" si="2"/>
        <v>43045</v>
      </c>
      <c r="N10" s="47" t="str">
        <f t="shared" si="3"/>
        <v>+$50</v>
      </c>
      <c r="O10" s="46" t="s">
        <v>120</v>
      </c>
      <c r="P10" s="46"/>
      <c r="Q10" s="46"/>
      <c r="R10" s="40">
        <f t="shared" si="4"/>
        <v>1426.9</v>
      </c>
      <c r="T10" s="137">
        <v>2.65</v>
      </c>
      <c r="U10" s="141" t="s">
        <v>113</v>
      </c>
      <c r="V10" s="144"/>
      <c r="W10" s="144"/>
      <c r="AB10" s="136">
        <v>6</v>
      </c>
      <c r="AC10" s="136"/>
      <c r="AD10" s="136"/>
    </row>
    <row r="11" spans="1:30" ht="16.95" customHeight="1">
      <c r="A11" s="65"/>
      <c r="B11" s="51" t="s">
        <v>26</v>
      </c>
      <c r="C11" s="83" t="str">
        <f t="shared" si="0"/>
        <v>11/</v>
      </c>
      <c r="D11" s="71">
        <v>20</v>
      </c>
      <c r="E11" s="38" t="s">
        <v>34</v>
      </c>
      <c r="F11" s="62">
        <v>11</v>
      </c>
      <c r="G11" s="39">
        <v>0</v>
      </c>
      <c r="I11" s="92" t="s">
        <v>84</v>
      </c>
      <c r="J11" s="87" t="s">
        <v>87</v>
      </c>
      <c r="K11" s="12"/>
      <c r="L11" s="84" t="str">
        <f t="shared" si="1"/>
        <v/>
      </c>
      <c r="M11" s="29">
        <f t="shared" si="2"/>
        <v>43046</v>
      </c>
      <c r="N11" s="47" t="str">
        <f t="shared" si="3"/>
        <v>+$50</v>
      </c>
      <c r="O11" s="45" t="s">
        <v>109</v>
      </c>
      <c r="P11" s="45"/>
      <c r="Q11" s="45"/>
      <c r="R11" s="40">
        <f t="shared" si="4"/>
        <v>1376.9</v>
      </c>
      <c r="T11" s="138">
        <v>0.1</v>
      </c>
      <c r="U11" s="141" t="s">
        <v>121</v>
      </c>
      <c r="V11" s="144"/>
      <c r="W11" s="144"/>
      <c r="AB11" s="136">
        <v>7</v>
      </c>
      <c r="AC11" s="136"/>
      <c r="AD11" s="136"/>
    </row>
    <row r="12" spans="1:30" ht="16.95" customHeight="1" thickBot="1">
      <c r="A12" s="65"/>
      <c r="B12" s="51" t="s">
        <v>26</v>
      </c>
      <c r="C12" s="83" t="str">
        <f t="shared" si="0"/>
        <v>11/</v>
      </c>
      <c r="D12" s="71">
        <v>10</v>
      </c>
      <c r="E12" s="38" t="s">
        <v>32</v>
      </c>
      <c r="F12" s="62">
        <v>23</v>
      </c>
      <c r="G12" s="39">
        <v>0</v>
      </c>
      <c r="I12" s="90" t="s">
        <v>85</v>
      </c>
      <c r="J12" s="91">
        <f>(J7+IF(ISNUMBER(J15),J15,0))-(NumDays*BufferModel)</f>
        <v>783.36999999999989</v>
      </c>
      <c r="L12" s="84" t="str">
        <f t="shared" si="1"/>
        <v/>
      </c>
      <c r="M12" s="29">
        <f t="shared" si="2"/>
        <v>43047</v>
      </c>
      <c r="N12" s="47" t="str">
        <f t="shared" si="3"/>
        <v>+$50</v>
      </c>
      <c r="O12" s="46" t="s">
        <v>107</v>
      </c>
      <c r="P12" s="46"/>
      <c r="Q12" s="46"/>
      <c r="R12" s="40">
        <f t="shared" si="4"/>
        <v>1326.9</v>
      </c>
      <c r="T12" s="137"/>
      <c r="U12" s="141"/>
      <c r="V12" s="144"/>
      <c r="W12" s="144"/>
      <c r="AB12" s="136">
        <v>8</v>
      </c>
      <c r="AC12" s="136"/>
      <c r="AD12" s="136"/>
    </row>
    <row r="13" spans="1:30" ht="16.95" customHeight="1" thickBot="1">
      <c r="A13" s="65"/>
      <c r="B13" s="51" t="s">
        <v>26</v>
      </c>
      <c r="C13" s="83" t="str">
        <f t="shared" si="0"/>
        <v>11/</v>
      </c>
      <c r="D13" s="71" t="s">
        <v>79</v>
      </c>
      <c r="E13" s="67" t="s">
        <v>57</v>
      </c>
      <c r="F13" s="62">
        <v>5</v>
      </c>
      <c r="G13" s="39">
        <v>0</v>
      </c>
      <c r="L13" s="84" t="str">
        <f t="shared" si="1"/>
        <v>★</v>
      </c>
      <c r="M13" s="29">
        <f t="shared" si="2"/>
        <v>43048</v>
      </c>
      <c r="N13" s="47" t="str">
        <f t="shared" si="3"/>
        <v>+$50</v>
      </c>
      <c r="O13" s="45" t="s">
        <v>6</v>
      </c>
      <c r="P13" s="45"/>
      <c r="Q13" s="45"/>
      <c r="R13" s="40">
        <f t="shared" si="4"/>
        <v>1276.9000000000001</v>
      </c>
      <c r="T13" s="139"/>
      <c r="U13" s="141"/>
      <c r="V13" s="144"/>
      <c r="W13" s="144"/>
      <c r="AB13" s="136">
        <v>9</v>
      </c>
      <c r="AC13" s="136"/>
      <c r="AD13" s="136"/>
    </row>
    <row r="14" spans="1:30" ht="16.95" customHeight="1">
      <c r="B14" s="66" t="s">
        <v>26</v>
      </c>
      <c r="C14" s="83" t="str">
        <f t="shared" si="0"/>
        <v>11/</v>
      </c>
      <c r="D14" s="71" t="s">
        <v>57</v>
      </c>
      <c r="E14" s="38" t="s">
        <v>57</v>
      </c>
      <c r="F14" s="62">
        <v>5</v>
      </c>
      <c r="G14" s="39">
        <v>0</v>
      </c>
      <c r="I14" s="128" t="s">
        <v>89</v>
      </c>
      <c r="J14" s="129"/>
      <c r="L14" s="84" t="str">
        <f t="shared" si="1"/>
        <v/>
      </c>
      <c r="M14" s="29">
        <f t="shared" si="2"/>
        <v>43049</v>
      </c>
      <c r="N14" s="47" t="str">
        <f t="shared" si="3"/>
        <v>+$50</v>
      </c>
      <c r="O14" s="46" t="s">
        <v>110</v>
      </c>
      <c r="P14" s="46"/>
      <c r="Q14" s="46"/>
      <c r="R14" s="40">
        <f t="shared" si="4"/>
        <v>1226.9000000000001</v>
      </c>
      <c r="T14" s="140"/>
      <c r="U14" s="145"/>
      <c r="V14" s="144"/>
      <c r="W14" s="144"/>
      <c r="X14" s="107"/>
      <c r="AB14" s="136">
        <v>10</v>
      </c>
      <c r="AC14" s="136"/>
      <c r="AD14" s="136"/>
    </row>
    <row r="15" spans="1:30" ht="16.95" customHeight="1" thickBot="1">
      <c r="I15" s="88" t="s">
        <v>86</v>
      </c>
      <c r="J15" s="89" t="s">
        <v>88</v>
      </c>
      <c r="L15" s="84" t="str">
        <f t="shared" si="1"/>
        <v/>
      </c>
      <c r="M15" s="29">
        <f t="shared" si="2"/>
        <v>43050</v>
      </c>
      <c r="N15" s="47" t="str">
        <f t="shared" si="3"/>
        <v>+$50</v>
      </c>
      <c r="O15" s="45" t="s">
        <v>6</v>
      </c>
      <c r="P15" s="45"/>
      <c r="Q15" s="45"/>
      <c r="R15" s="40">
        <f t="shared" si="4"/>
        <v>1176.9000000000001</v>
      </c>
      <c r="T15" s="139"/>
      <c r="U15" s="141"/>
      <c r="V15" s="146"/>
      <c r="W15" s="144"/>
      <c r="Z15" s="108"/>
      <c r="AB15" s="136">
        <v>11</v>
      </c>
      <c r="AC15" s="136"/>
      <c r="AD15" s="136"/>
    </row>
    <row r="16" spans="1:30" ht="16.95" customHeight="1" thickBot="1">
      <c r="L16" s="84" t="str">
        <f t="shared" si="1"/>
        <v/>
      </c>
      <c r="M16" s="29">
        <f t="shared" si="2"/>
        <v>43051</v>
      </c>
      <c r="N16" s="47" t="str">
        <f t="shared" si="3"/>
        <v>+$50</v>
      </c>
      <c r="O16" s="46" t="s">
        <v>6</v>
      </c>
      <c r="P16" s="46"/>
      <c r="Q16" s="46"/>
      <c r="R16" s="40">
        <f t="shared" si="4"/>
        <v>1126.9000000000001</v>
      </c>
      <c r="T16" s="140"/>
      <c r="U16" s="141"/>
      <c r="V16" s="147"/>
      <c r="W16" s="144"/>
      <c r="AB16" s="136">
        <v>12</v>
      </c>
      <c r="AC16" s="136"/>
      <c r="AD16" s="136"/>
    </row>
    <row r="17" spans="2:30" ht="16.95" customHeight="1">
      <c r="B17" s="15" t="s">
        <v>58</v>
      </c>
      <c r="C17" s="15"/>
      <c r="I17" s="121" t="s">
        <v>94</v>
      </c>
      <c r="J17" s="122"/>
      <c r="L17" s="84" t="str">
        <f t="shared" si="1"/>
        <v/>
      </c>
      <c r="M17" s="29">
        <f t="shared" si="2"/>
        <v>43052</v>
      </c>
      <c r="N17" s="47" t="str">
        <f t="shared" si="3"/>
        <v>+$50</v>
      </c>
      <c r="O17" s="45" t="s">
        <v>6</v>
      </c>
      <c r="P17" s="45"/>
      <c r="Q17" s="45"/>
      <c r="R17" s="40">
        <f t="shared" si="4"/>
        <v>1076.9000000000001</v>
      </c>
      <c r="T17" s="139"/>
      <c r="U17" s="141"/>
      <c r="V17" s="148"/>
      <c r="W17" s="144"/>
      <c r="AB17" s="136">
        <v>13</v>
      </c>
      <c r="AC17" s="136"/>
      <c r="AD17" s="136"/>
    </row>
    <row r="18" spans="2:30" ht="16.95" customHeight="1">
      <c r="B18" s="81" t="s">
        <v>59</v>
      </c>
      <c r="C18" s="119" t="s">
        <v>62</v>
      </c>
      <c r="D18" s="120"/>
      <c r="E18" s="126" t="s">
        <v>73</v>
      </c>
      <c r="F18" s="127"/>
      <c r="G18" s="127"/>
      <c r="H18" s="14"/>
      <c r="I18" s="96"/>
      <c r="J18" s="97" t="str">
        <f>J7</f>
        <v>$2283.37</v>
      </c>
      <c r="L18" s="84" t="str">
        <f t="shared" si="1"/>
        <v/>
      </c>
      <c r="M18" s="29">
        <f t="shared" si="2"/>
        <v>43053</v>
      </c>
      <c r="N18" s="47" t="str">
        <f t="shared" si="3"/>
        <v>+$50</v>
      </c>
      <c r="O18" s="46" t="s">
        <v>6</v>
      </c>
      <c r="P18" s="46"/>
      <c r="Q18" s="46"/>
      <c r="R18" s="40">
        <f t="shared" si="4"/>
        <v>1026.9000000000001</v>
      </c>
      <c r="V18" s="103"/>
      <c r="AB18" s="136">
        <v>14</v>
      </c>
      <c r="AC18" s="136"/>
      <c r="AD18" s="136"/>
    </row>
    <row r="19" spans="2:30" ht="16.95" customHeight="1">
      <c r="B19" s="85" t="s">
        <v>97</v>
      </c>
      <c r="C19" s="82" t="str">
        <f>MonthVal&amp;"/"</f>
        <v>11/</v>
      </c>
      <c r="D19" s="80" t="s">
        <v>127</v>
      </c>
      <c r="E19" s="125"/>
      <c r="F19" s="125"/>
      <c r="G19" s="125"/>
      <c r="I19" s="98" t="s">
        <v>81</v>
      </c>
      <c r="J19" s="99">
        <f>IF(ISNUMBER(J11),J11,J12)</f>
        <v>783.36999999999989</v>
      </c>
      <c r="L19" s="84" t="str">
        <f t="shared" si="1"/>
        <v/>
      </c>
      <c r="M19" s="29">
        <f t="shared" si="2"/>
        <v>43054</v>
      </c>
      <c r="N19" s="47" t="str">
        <f t="shared" si="3"/>
        <v>+$50</v>
      </c>
      <c r="O19" s="45" t="s">
        <v>6</v>
      </c>
      <c r="P19" s="45"/>
      <c r="Q19" s="45"/>
      <c r="R19" s="40">
        <f t="shared" si="4"/>
        <v>976.90000000000009</v>
      </c>
      <c r="V19" s="149"/>
      <c r="AB19" s="136">
        <v>15</v>
      </c>
      <c r="AC19" s="136"/>
      <c r="AD19" s="136"/>
    </row>
    <row r="20" spans="2:30" ht="16.95" customHeight="1" thickBot="1">
      <c r="B20" s="85" t="s">
        <v>60</v>
      </c>
      <c r="C20" s="82" t="str">
        <f>MonthVal&amp;"/"</f>
        <v>11/</v>
      </c>
      <c r="D20" s="80" t="s">
        <v>127</v>
      </c>
      <c r="E20" s="123"/>
      <c r="F20" s="123"/>
      <c r="G20" s="123"/>
      <c r="I20" s="100" t="s">
        <v>80</v>
      </c>
      <c r="J20" s="101">
        <f>IF(ISNUMBER(J15),J15,0)</f>
        <v>0</v>
      </c>
      <c r="K20" s="11"/>
      <c r="L20" s="84" t="str">
        <f t="shared" si="1"/>
        <v/>
      </c>
      <c r="M20" s="29">
        <f t="shared" si="2"/>
        <v>43055</v>
      </c>
      <c r="N20" s="47" t="str">
        <f t="shared" si="3"/>
        <v>+$50</v>
      </c>
      <c r="O20" s="46" t="s">
        <v>6</v>
      </c>
      <c r="P20" s="46"/>
      <c r="Q20" s="46"/>
      <c r="R20" s="40">
        <f t="shared" si="4"/>
        <v>926.90000000000009</v>
      </c>
      <c r="T20" s="26"/>
      <c r="U20" s="26"/>
      <c r="V20" s="104"/>
      <c r="AB20" s="136">
        <v>16</v>
      </c>
      <c r="AC20" s="136"/>
      <c r="AD20" s="136"/>
    </row>
    <row r="21" spans="2:30" ht="16.95" customHeight="1" thickBot="1">
      <c r="B21" s="86" t="s">
        <v>61</v>
      </c>
      <c r="C21" s="82" t="str">
        <f>MonthVal&amp;"/"</f>
        <v>11/</v>
      </c>
      <c r="D21" s="80" t="s">
        <v>106</v>
      </c>
      <c r="E21" s="123"/>
      <c r="F21" s="123"/>
      <c r="G21" s="123"/>
      <c r="I21" s="102"/>
      <c r="J21" s="106">
        <f>R2</f>
        <v>1500</v>
      </c>
      <c r="L21" s="84" t="str">
        <f t="shared" si="1"/>
        <v/>
      </c>
      <c r="M21" s="29">
        <f t="shared" si="2"/>
        <v>43056</v>
      </c>
      <c r="N21" s="47" t="str">
        <f t="shared" si="3"/>
        <v>+$50</v>
      </c>
      <c r="O21" s="45" t="s">
        <v>6</v>
      </c>
      <c r="P21" s="45"/>
      <c r="Q21" s="45"/>
      <c r="R21" s="40">
        <f t="shared" si="4"/>
        <v>876.90000000000009</v>
      </c>
      <c r="T21" s="26"/>
      <c r="U21" s="26"/>
      <c r="V21" s="105"/>
      <c r="X21" s="27"/>
      <c r="AB21" s="136">
        <v>17</v>
      </c>
      <c r="AC21" s="136"/>
      <c r="AD21" s="136"/>
    </row>
    <row r="22" spans="2:30" ht="16.95" customHeight="1">
      <c r="B22" s="86" t="s">
        <v>74</v>
      </c>
      <c r="C22" s="82" t="str">
        <f>MonthVal&amp;"/"</f>
        <v>11/</v>
      </c>
      <c r="D22" s="80" t="s">
        <v>57</v>
      </c>
      <c r="E22" s="123"/>
      <c r="F22" s="123"/>
      <c r="G22" s="123"/>
      <c r="K22" s="5"/>
      <c r="L22" s="84" t="str">
        <f t="shared" si="1"/>
        <v/>
      </c>
      <c r="M22" s="29">
        <f t="shared" si="2"/>
        <v>43057</v>
      </c>
      <c r="N22" s="47" t="str">
        <f t="shared" si="3"/>
        <v>+$50</v>
      </c>
      <c r="O22" s="46">
        <f>5.1</f>
        <v>5.0999999999999996</v>
      </c>
      <c r="P22" s="46"/>
      <c r="Q22" s="46"/>
      <c r="R22" s="40">
        <f t="shared" si="4"/>
        <v>871.80000000000007</v>
      </c>
      <c r="AB22" s="136">
        <v>18</v>
      </c>
      <c r="AC22" s="136">
        <v>5.0999999999999996</v>
      </c>
      <c r="AD22" s="136" t="s">
        <v>108</v>
      </c>
    </row>
    <row r="23" spans="2:30" ht="16.95" customHeight="1">
      <c r="B23" s="86" t="s">
        <v>75</v>
      </c>
      <c r="C23" s="82" t="str">
        <f>MonthVal&amp;"/"</f>
        <v>11/</v>
      </c>
      <c r="D23" s="80" t="s">
        <v>57</v>
      </c>
      <c r="E23" s="123"/>
      <c r="F23" s="123"/>
      <c r="G23" s="123"/>
      <c r="K23" s="10"/>
      <c r="L23" s="84" t="str">
        <f t="shared" si="1"/>
        <v/>
      </c>
      <c r="M23" s="29">
        <f t="shared" si="2"/>
        <v>43058</v>
      </c>
      <c r="N23" s="47" t="str">
        <f t="shared" si="3"/>
        <v>+$50</v>
      </c>
      <c r="O23" s="45" t="s">
        <v>6</v>
      </c>
      <c r="P23" s="45"/>
      <c r="Q23" s="45"/>
      <c r="R23" s="40">
        <f t="shared" si="4"/>
        <v>821.80000000000007</v>
      </c>
      <c r="AB23" s="136">
        <v>19</v>
      </c>
      <c r="AC23" s="136"/>
      <c r="AD23" s="136"/>
    </row>
    <row r="24" spans="2:30" ht="16.95" customHeight="1">
      <c r="B24" s="59"/>
      <c r="C24" s="59"/>
      <c r="E24" s="6"/>
      <c r="L24" s="84" t="str">
        <f t="shared" si="1"/>
        <v/>
      </c>
      <c r="M24" s="29">
        <f t="shared" si="2"/>
        <v>43059</v>
      </c>
      <c r="N24" s="47" t="str">
        <f t="shared" si="3"/>
        <v>+$50</v>
      </c>
      <c r="O24" s="46" t="s">
        <v>6</v>
      </c>
      <c r="P24" s="46"/>
      <c r="Q24" s="46"/>
      <c r="R24" s="40">
        <f t="shared" si="4"/>
        <v>771.80000000000007</v>
      </c>
      <c r="AB24" s="136">
        <v>20</v>
      </c>
      <c r="AC24" s="136"/>
      <c r="AD24" s="136"/>
    </row>
    <row r="25" spans="2:30" ht="16.95" customHeight="1">
      <c r="B25" s="59"/>
      <c r="D25" s="2"/>
      <c r="F25" s="25"/>
      <c r="G25" s="3"/>
      <c r="L25" s="84" t="str">
        <f t="shared" si="1"/>
        <v/>
      </c>
      <c r="M25" s="29">
        <f t="shared" si="2"/>
        <v>43060</v>
      </c>
      <c r="N25" s="47" t="str">
        <f t="shared" si="3"/>
        <v>+$50</v>
      </c>
      <c r="O25" s="45" t="s">
        <v>6</v>
      </c>
      <c r="P25" s="45"/>
      <c r="Q25" s="45"/>
      <c r="R25" s="40">
        <f t="shared" si="4"/>
        <v>721.80000000000007</v>
      </c>
      <c r="AB25" s="136">
        <v>21</v>
      </c>
      <c r="AC25" s="136"/>
      <c r="AD25" s="136"/>
    </row>
    <row r="26" spans="2:30" ht="16.95" customHeight="1">
      <c r="L26" s="84" t="str">
        <f t="shared" si="1"/>
        <v/>
      </c>
      <c r="M26" s="29">
        <f t="shared" si="2"/>
        <v>43061</v>
      </c>
      <c r="N26" s="47" t="str">
        <f t="shared" si="3"/>
        <v>+$50</v>
      </c>
      <c r="O26" s="46" t="s">
        <v>6</v>
      </c>
      <c r="P26" s="46"/>
      <c r="Q26" s="46"/>
      <c r="R26" s="40">
        <f t="shared" si="4"/>
        <v>671.80000000000007</v>
      </c>
      <c r="AB26" s="136">
        <v>22</v>
      </c>
      <c r="AC26" s="136"/>
      <c r="AD26" s="136"/>
    </row>
    <row r="27" spans="2:30" ht="16.95" customHeight="1">
      <c r="L27" s="84" t="str">
        <f t="shared" si="1"/>
        <v/>
      </c>
      <c r="M27" s="29">
        <f t="shared" si="2"/>
        <v>43062</v>
      </c>
      <c r="N27" s="47" t="str">
        <f t="shared" si="3"/>
        <v>+$50</v>
      </c>
      <c r="O27" s="45" t="s">
        <v>6</v>
      </c>
      <c r="P27" s="45"/>
      <c r="Q27" s="45"/>
      <c r="R27" s="40">
        <f t="shared" si="4"/>
        <v>621.80000000000007</v>
      </c>
      <c r="AB27" s="136">
        <v>23</v>
      </c>
      <c r="AC27" s="136"/>
      <c r="AD27" s="136"/>
    </row>
    <row r="28" spans="2:30" ht="16.95" customHeight="1">
      <c r="L28" s="84" t="str">
        <f t="shared" si="1"/>
        <v/>
      </c>
      <c r="M28" s="29">
        <f t="shared" si="2"/>
        <v>43063</v>
      </c>
      <c r="N28" s="47" t="str">
        <f t="shared" si="3"/>
        <v>+$50</v>
      </c>
      <c r="O28" s="46" t="s">
        <v>6</v>
      </c>
      <c r="P28" s="46"/>
      <c r="Q28" s="46"/>
      <c r="R28" s="40">
        <f t="shared" si="4"/>
        <v>571.80000000000007</v>
      </c>
      <c r="AB28" s="136">
        <v>24</v>
      </c>
      <c r="AC28" s="136"/>
      <c r="AD28" s="136"/>
    </row>
    <row r="29" spans="2:30" ht="16.95" customHeight="1">
      <c r="K29" s="10"/>
      <c r="L29" s="84" t="str">
        <f t="shared" si="1"/>
        <v>★</v>
      </c>
      <c r="M29" s="29">
        <f t="shared" si="2"/>
        <v>43064</v>
      </c>
      <c r="N29" s="47" t="str">
        <f t="shared" si="3"/>
        <v>+$50</v>
      </c>
      <c r="O29" s="45" t="s">
        <v>6</v>
      </c>
      <c r="P29" s="45"/>
      <c r="Q29" s="45"/>
      <c r="R29" s="40">
        <f t="shared" si="4"/>
        <v>521.80000000000007</v>
      </c>
      <c r="AB29" s="136">
        <v>25</v>
      </c>
      <c r="AC29" s="136"/>
      <c r="AD29" s="136"/>
    </row>
    <row r="30" spans="2:30" ht="16.95" customHeight="1">
      <c r="L30" s="84" t="str">
        <f t="shared" si="1"/>
        <v/>
      </c>
      <c r="M30" s="29">
        <f t="shared" si="2"/>
        <v>43065</v>
      </c>
      <c r="N30" s="47" t="str">
        <f t="shared" si="3"/>
        <v>+$50</v>
      </c>
      <c r="O30" s="46" t="s">
        <v>6</v>
      </c>
      <c r="P30" s="46"/>
      <c r="Q30" s="46"/>
      <c r="R30" s="40">
        <f t="shared" si="4"/>
        <v>471.80000000000007</v>
      </c>
      <c r="AB30" s="136">
        <v>26</v>
      </c>
      <c r="AC30" s="136"/>
      <c r="AD30" s="136"/>
    </row>
    <row r="31" spans="2:30" ht="16.95" customHeight="1">
      <c r="L31" s="84" t="str">
        <f t="shared" si="1"/>
        <v>★</v>
      </c>
      <c r="M31" s="29">
        <f t="shared" si="2"/>
        <v>43066</v>
      </c>
      <c r="N31" s="47" t="str">
        <f t="shared" si="3"/>
        <v>+$50</v>
      </c>
      <c r="O31" s="45" t="s">
        <v>6</v>
      </c>
      <c r="P31" s="45"/>
      <c r="Q31" s="45"/>
      <c r="R31" s="40">
        <f t="shared" si="4"/>
        <v>421.80000000000007</v>
      </c>
      <c r="AB31" s="136">
        <v>27</v>
      </c>
      <c r="AC31" s="136"/>
      <c r="AD31" s="136"/>
    </row>
    <row r="32" spans="2:30" ht="16.95" customHeight="1">
      <c r="L32" s="84" t="str">
        <f t="shared" si="1"/>
        <v/>
      </c>
      <c r="M32" s="29">
        <f t="shared" si="2"/>
        <v>43067</v>
      </c>
      <c r="N32" s="47" t="str">
        <f t="shared" si="3"/>
        <v>+$50</v>
      </c>
      <c r="O32" s="46" t="s">
        <v>6</v>
      </c>
      <c r="P32" s="46"/>
      <c r="Q32" s="46"/>
      <c r="R32" s="40">
        <f t="shared" si="4"/>
        <v>371.80000000000007</v>
      </c>
      <c r="AB32" s="136">
        <v>28</v>
      </c>
      <c r="AC32" s="136"/>
      <c r="AD32" s="136"/>
    </row>
    <row r="33" spans="8:30" ht="16.95" customHeight="1">
      <c r="L33" s="84" t="str">
        <f t="shared" si="1"/>
        <v/>
      </c>
      <c r="M33" s="29">
        <f t="shared" si="2"/>
        <v>43068</v>
      </c>
      <c r="N33" s="47" t="str">
        <f t="shared" si="3"/>
        <v>+$50</v>
      </c>
      <c r="O33" s="45" t="s">
        <v>6</v>
      </c>
      <c r="P33" s="45"/>
      <c r="Q33" s="45"/>
      <c r="R33" s="40">
        <f t="shared" si="4"/>
        <v>321.80000000000007</v>
      </c>
      <c r="AB33" s="136">
        <v>29</v>
      </c>
      <c r="AC33" s="136"/>
      <c r="AD33" s="136"/>
    </row>
    <row r="34" spans="8:30" ht="16.95" customHeight="1">
      <c r="L34" s="84" t="str">
        <f t="shared" si="1"/>
        <v/>
      </c>
      <c r="M34" s="29">
        <f t="shared" si="2"/>
        <v>43069</v>
      </c>
      <c r="N34" s="47" t="str">
        <f t="shared" si="3"/>
        <v>+$50</v>
      </c>
      <c r="O34" s="46" t="s">
        <v>6</v>
      </c>
      <c r="P34" s="46"/>
      <c r="Q34" s="46"/>
      <c r="R34" s="40">
        <f t="shared" si="4"/>
        <v>271.80000000000007</v>
      </c>
      <c r="S34" s="1"/>
      <c r="AB34" s="136">
        <v>30</v>
      </c>
      <c r="AC34" s="136"/>
      <c r="AD34" s="136"/>
    </row>
    <row r="35" spans="8:30" ht="16.95" customHeight="1" thickBot="1">
      <c r="L35" s="84" t="str">
        <f t="shared" si="1"/>
        <v/>
      </c>
      <c r="M35" s="29" t="str">
        <f t="shared" si="2"/>
        <v/>
      </c>
      <c r="N35" s="47" t="str">
        <f t="shared" si="3"/>
        <v/>
      </c>
      <c r="O35" s="45" t="s">
        <v>6</v>
      </c>
      <c r="P35" s="45"/>
      <c r="Q35" s="45"/>
      <c r="R35" s="40" t="str">
        <f t="shared" si="4"/>
        <v/>
      </c>
      <c r="AB35" s="136">
        <v>31</v>
      </c>
      <c r="AC35" s="136"/>
      <c r="AD35" s="136"/>
    </row>
    <row r="36" spans="8:30" ht="22.2" customHeight="1" thickTop="1">
      <c r="H36" s="30"/>
      <c r="L36" s="68"/>
      <c r="M36" s="113" t="s">
        <v>63</v>
      </c>
      <c r="N36" s="114"/>
      <c r="O36" s="69">
        <f>SUM(O5:O35)</f>
        <v>28.200000000000003</v>
      </c>
      <c r="P36" s="69"/>
      <c r="Q36" s="69"/>
      <c r="R36" s="48"/>
    </row>
    <row r="37" spans="8:30">
      <c r="H37" s="30"/>
      <c r="I37" s="30"/>
      <c r="O37" s="3"/>
      <c r="P37" s="3"/>
      <c r="Q37" s="3"/>
      <c r="R37" s="3"/>
      <c r="S37" s="3"/>
    </row>
    <row r="38" spans="8:30">
      <c r="O38" s="2"/>
      <c r="P38" s="2"/>
      <c r="Q38" s="2"/>
      <c r="R38" s="8"/>
      <c r="S38" s="7"/>
    </row>
  </sheetData>
  <dataConsolidate/>
  <mergeCells count="15">
    <mergeCell ref="T2:U3"/>
    <mergeCell ref="T4:U4"/>
    <mergeCell ref="C1:E1"/>
    <mergeCell ref="E21:G21"/>
    <mergeCell ref="E20:G20"/>
    <mergeCell ref="E19:G19"/>
    <mergeCell ref="E18:G18"/>
    <mergeCell ref="M36:N36"/>
    <mergeCell ref="I3:J3"/>
    <mergeCell ref="I10:J10"/>
    <mergeCell ref="C18:D18"/>
    <mergeCell ref="I17:J17"/>
    <mergeCell ref="E22:G22"/>
    <mergeCell ref="E23:G23"/>
    <mergeCell ref="I14:J14"/>
  </mergeCells>
  <phoneticPr fontId="14" type="noConversion"/>
  <conditionalFormatting sqref="B4:B14">
    <cfRule type="expression" dxfId="11" priority="10">
      <formula>INDIRECT(ADDRESS(ROW(),COLUMN()))="Ma"</formula>
    </cfRule>
  </conditionalFormatting>
  <conditionalFormatting sqref="E4:E14">
    <cfRule type="expression" dxfId="10" priority="15">
      <formula>OFFSET(E4,0,-3)="Ma"</formula>
    </cfRule>
    <cfRule type="expression" dxfId="9" priority="17">
      <formula>OFFSET(E4,0,-3)="Au"</formula>
    </cfRule>
  </conditionalFormatting>
  <conditionalFormatting sqref="M5:M35">
    <cfRule type="expression" dxfId="8" priority="3">
      <formula>M5=TODAY()</formula>
    </cfRule>
  </conditionalFormatting>
  <conditionalFormatting sqref="N5:N35">
    <cfRule type="expression" dxfId="7" priority="1">
      <formula>OFFSET(N5,0,-1)&gt;TODAY()</formula>
    </cfRule>
    <cfRule type="expression" dxfId="6" priority="2">
      <formula>OFFSET(N5,0,-1)=TODAY()</formula>
    </cfRule>
  </conditionalFormatting>
  <dataValidations count="6">
    <dataValidation allowBlank="1" showInputMessage="1" showErrorMessage="1" promptTitle="ReserveAmt" prompt="Enter amount to reserve at the BEGINNING of this month. Enter asterisk ('*') to see the sheet with assumption you reserve all amount shown in &quot;Reservable&quot;." sqref="J11"/>
    <dataValidation type="whole" allowBlank="1" showInputMessage="1" showErrorMessage="1" promptTitle="YearVal" prompt="Enter the year you currently exist as a mortal" sqref="H1">
      <formula1>1000</formula1>
      <formula2>3000</formula2>
    </dataValidation>
    <dataValidation allowBlank="1" showInputMessage="1" showErrorMessage="1" promptTitle="BufferModel" prompt="Desired/goal size of daily money buffer. This value is used only if &quot;Actually Reserved&quot; is *. Use this see how much money is reservable at beginning of month." sqref="N2"/>
    <dataValidation allowBlank="1" showInputMessage="1" showErrorMessage="1" promptTitle="AddedAmt" prompt="Whatever money that has been carried over to this month. It could be the remaining from last month, or any extra money that you want to add to the starting pool." sqref="J15"/>
    <dataValidation allowBlank="1" showInputMessage="1" showErrorMessage="1" promptTitle="incomeAmt" prompt="How loaded you are in a numerical representation." sqref="J4"/>
    <dataValidation allowBlank="1" showErrorMessage="1" promptTitle="ExpenseType" prompt="Au = &quot;Automatic&quot;. Ma =&quot;Manual&quot;. Select &quot;Au&quot; if this expense goes out automatically, &quot;Ma&quot; if you initate payment monthly yourself." sqref="C4:C1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85" r:id="rId4" name="Option Button 1">
              <controlPr defaultSize="0" autoFill="0" autoLine="0" autoPict="0" macro="[0]!OpBtn_Click">
                <anchor moveWithCells="1">
                  <from>
                    <xdr:col>16</xdr:col>
                    <xdr:colOff>15240</xdr:colOff>
                    <xdr:row>4</xdr:row>
                    <xdr:rowOff>0</xdr:rowOff>
                  </from>
                  <to>
                    <xdr:col>17</xdr:col>
                    <xdr:colOff>114300</xdr:colOff>
                    <xdr:row>5</xdr:row>
                    <xdr:rowOff>53340</xdr:rowOff>
                  </to>
                </anchor>
              </controlPr>
            </control>
          </mc:Choice>
        </mc:AlternateContent>
        <mc:AlternateContent xmlns:mc="http://schemas.openxmlformats.org/markup-compatibility/2006">
          <mc:Choice Requires="x14">
            <control shapeId="159786" r:id="rId5" name="SubmitButton">
              <controlPr defaultSize="0" autoFill="0" autoPict="0" macro="[0]!SubmitButton_click">
                <anchor moveWithCells="1" sizeWithCells="1">
                  <from>
                    <xdr:col>19</xdr:col>
                    <xdr:colOff>121920</xdr:colOff>
                    <xdr:row>17</xdr:row>
                    <xdr:rowOff>83820</xdr:rowOff>
                  </from>
                  <to>
                    <xdr:col>20</xdr:col>
                    <xdr:colOff>594360</xdr:colOff>
                    <xdr:row>19</xdr:row>
                    <xdr:rowOff>76200</xdr:rowOff>
                  </to>
                </anchor>
              </controlPr>
            </control>
          </mc:Choice>
        </mc:AlternateContent>
        <mc:AlternateContent xmlns:mc="http://schemas.openxmlformats.org/markup-compatibility/2006">
          <mc:Choice Requires="x14">
            <control shapeId="159789" r:id="rId6" name="Option Button 2">
              <controlPr defaultSize="0" autoFill="0" autoLine="0" autoPict="0" macro="[0]!OpBtn_Click">
                <anchor moveWithCells="1">
                  <from>
                    <xdr:col>16</xdr:col>
                    <xdr:colOff>15240</xdr:colOff>
                    <xdr:row>4</xdr:row>
                    <xdr:rowOff>205740</xdr:rowOff>
                  </from>
                  <to>
                    <xdr:col>17</xdr:col>
                    <xdr:colOff>114300</xdr:colOff>
                    <xdr:row>6</xdr:row>
                    <xdr:rowOff>38100</xdr:rowOff>
                  </to>
                </anchor>
              </controlPr>
            </control>
          </mc:Choice>
        </mc:AlternateContent>
        <mc:AlternateContent xmlns:mc="http://schemas.openxmlformats.org/markup-compatibility/2006">
          <mc:Choice Requires="x14">
            <control shapeId="159790" r:id="rId7" name="Option Button 3">
              <controlPr defaultSize="0" autoFill="0" autoLine="0" autoPict="0" macro="[0]!OpBtn_Click">
                <anchor moveWithCells="1">
                  <from>
                    <xdr:col>16</xdr:col>
                    <xdr:colOff>7620</xdr:colOff>
                    <xdr:row>6</xdr:row>
                    <xdr:rowOff>7620</xdr:rowOff>
                  </from>
                  <to>
                    <xdr:col>17</xdr:col>
                    <xdr:colOff>106680</xdr:colOff>
                    <xdr:row>7</xdr:row>
                    <xdr:rowOff>53340</xdr:rowOff>
                  </to>
                </anchor>
              </controlPr>
            </control>
          </mc:Choice>
        </mc:AlternateContent>
        <mc:AlternateContent xmlns:mc="http://schemas.openxmlformats.org/markup-compatibility/2006">
          <mc:Choice Requires="x14">
            <control shapeId="159792" r:id="rId8" name="Option Button 4">
              <controlPr defaultSize="0" autoFill="0" autoLine="0" autoPict="0" macro="[0]!OpBtn_Click">
                <anchor moveWithCells="1">
                  <from>
                    <xdr:col>16</xdr:col>
                    <xdr:colOff>15240</xdr:colOff>
                    <xdr:row>7</xdr:row>
                    <xdr:rowOff>0</xdr:rowOff>
                  </from>
                  <to>
                    <xdr:col>17</xdr:col>
                    <xdr:colOff>114300</xdr:colOff>
                    <xdr:row>8</xdr:row>
                    <xdr:rowOff>53340</xdr:rowOff>
                  </to>
                </anchor>
              </controlPr>
            </control>
          </mc:Choice>
        </mc:AlternateContent>
        <mc:AlternateContent xmlns:mc="http://schemas.openxmlformats.org/markup-compatibility/2006">
          <mc:Choice Requires="x14">
            <control shapeId="159793" r:id="rId9" name="Option Button 5">
              <controlPr defaultSize="0" autoFill="0" autoLine="0" autoPict="0" macro="[0]!OpBtn_Click">
                <anchor moveWithCells="1">
                  <from>
                    <xdr:col>16</xdr:col>
                    <xdr:colOff>15240</xdr:colOff>
                    <xdr:row>8</xdr:row>
                    <xdr:rowOff>0</xdr:rowOff>
                  </from>
                  <to>
                    <xdr:col>17</xdr:col>
                    <xdr:colOff>114300</xdr:colOff>
                    <xdr:row>9</xdr:row>
                    <xdr:rowOff>53340</xdr:rowOff>
                  </to>
                </anchor>
              </controlPr>
            </control>
          </mc:Choice>
        </mc:AlternateContent>
        <mc:AlternateContent xmlns:mc="http://schemas.openxmlformats.org/markup-compatibility/2006">
          <mc:Choice Requires="x14">
            <control shapeId="159794" r:id="rId10" name="Option Button 6">
              <controlPr defaultSize="0" autoFill="0" autoLine="0" autoPict="0" macro="[0]!OpBtn_Click">
                <anchor moveWithCells="1">
                  <from>
                    <xdr:col>16</xdr:col>
                    <xdr:colOff>15240</xdr:colOff>
                    <xdr:row>9</xdr:row>
                    <xdr:rowOff>0</xdr:rowOff>
                  </from>
                  <to>
                    <xdr:col>17</xdr:col>
                    <xdr:colOff>114300</xdr:colOff>
                    <xdr:row>10</xdr:row>
                    <xdr:rowOff>53340</xdr:rowOff>
                  </to>
                </anchor>
              </controlPr>
            </control>
          </mc:Choice>
        </mc:AlternateContent>
        <mc:AlternateContent xmlns:mc="http://schemas.openxmlformats.org/markup-compatibility/2006">
          <mc:Choice Requires="x14">
            <control shapeId="159795" r:id="rId11" name="Option Button 7">
              <controlPr defaultSize="0" autoFill="0" autoLine="0" autoPict="0" macro="[0]!OpBtn_Click">
                <anchor moveWithCells="1">
                  <from>
                    <xdr:col>16</xdr:col>
                    <xdr:colOff>15240</xdr:colOff>
                    <xdr:row>10</xdr:row>
                    <xdr:rowOff>0</xdr:rowOff>
                  </from>
                  <to>
                    <xdr:col>17</xdr:col>
                    <xdr:colOff>114300</xdr:colOff>
                    <xdr:row>11</xdr:row>
                    <xdr:rowOff>53340</xdr:rowOff>
                  </to>
                </anchor>
              </controlPr>
            </control>
          </mc:Choice>
        </mc:AlternateContent>
        <mc:AlternateContent xmlns:mc="http://schemas.openxmlformats.org/markup-compatibility/2006">
          <mc:Choice Requires="x14">
            <control shapeId="159797" r:id="rId12" name="Option Button 8">
              <controlPr defaultSize="0" autoFill="0" autoLine="0" autoPict="0" macro="[0]!OpBtn_Click">
                <anchor moveWithCells="1">
                  <from>
                    <xdr:col>16</xdr:col>
                    <xdr:colOff>15240</xdr:colOff>
                    <xdr:row>11</xdr:row>
                    <xdr:rowOff>0</xdr:rowOff>
                  </from>
                  <to>
                    <xdr:col>17</xdr:col>
                    <xdr:colOff>114300</xdr:colOff>
                    <xdr:row>12</xdr:row>
                    <xdr:rowOff>53340</xdr:rowOff>
                  </to>
                </anchor>
              </controlPr>
            </control>
          </mc:Choice>
        </mc:AlternateContent>
        <mc:AlternateContent xmlns:mc="http://schemas.openxmlformats.org/markup-compatibility/2006">
          <mc:Choice Requires="x14">
            <control shapeId="159798" r:id="rId13" name="Option Button 9">
              <controlPr defaultSize="0" autoFill="0" autoLine="0" autoPict="0" macro="[0]!OpBtn_Click">
                <anchor moveWithCells="1">
                  <from>
                    <xdr:col>16</xdr:col>
                    <xdr:colOff>15240</xdr:colOff>
                    <xdr:row>11</xdr:row>
                    <xdr:rowOff>198120</xdr:rowOff>
                  </from>
                  <to>
                    <xdr:col>17</xdr:col>
                    <xdr:colOff>114300</xdr:colOff>
                    <xdr:row>13</xdr:row>
                    <xdr:rowOff>38100</xdr:rowOff>
                  </to>
                </anchor>
              </controlPr>
            </control>
          </mc:Choice>
        </mc:AlternateContent>
        <mc:AlternateContent xmlns:mc="http://schemas.openxmlformats.org/markup-compatibility/2006">
          <mc:Choice Requires="x14">
            <control shapeId="159799" r:id="rId14" name="Option Button 10">
              <controlPr defaultSize="0" autoFill="0" autoLine="0" autoPict="0" macro="[0]!OpBtn_Click">
                <anchor moveWithCells="1">
                  <from>
                    <xdr:col>16</xdr:col>
                    <xdr:colOff>15240</xdr:colOff>
                    <xdr:row>12</xdr:row>
                    <xdr:rowOff>205740</xdr:rowOff>
                  </from>
                  <to>
                    <xdr:col>17</xdr:col>
                    <xdr:colOff>114300</xdr:colOff>
                    <xdr:row>14</xdr:row>
                    <xdr:rowOff>45720</xdr:rowOff>
                  </to>
                </anchor>
              </controlPr>
            </control>
          </mc:Choice>
        </mc:AlternateContent>
        <mc:AlternateContent xmlns:mc="http://schemas.openxmlformats.org/markup-compatibility/2006">
          <mc:Choice Requires="x14">
            <control shapeId="159800" r:id="rId15" name="Option Button 11">
              <controlPr defaultSize="0" autoFill="0" autoLine="0" autoPict="0" macro="[0]!OpBtn_Click">
                <anchor moveWithCells="1">
                  <from>
                    <xdr:col>16</xdr:col>
                    <xdr:colOff>15240</xdr:colOff>
                    <xdr:row>13</xdr:row>
                    <xdr:rowOff>198120</xdr:rowOff>
                  </from>
                  <to>
                    <xdr:col>17</xdr:col>
                    <xdr:colOff>114300</xdr:colOff>
                    <xdr:row>15</xdr:row>
                    <xdr:rowOff>38100</xdr:rowOff>
                  </to>
                </anchor>
              </controlPr>
            </control>
          </mc:Choice>
        </mc:AlternateContent>
        <mc:AlternateContent xmlns:mc="http://schemas.openxmlformats.org/markup-compatibility/2006">
          <mc:Choice Requires="x14">
            <control shapeId="159801" r:id="rId16" name="Option Button 12">
              <controlPr defaultSize="0" autoFill="0" autoLine="0" autoPict="0" macro="[0]!OpBtn_Click">
                <anchor moveWithCells="1">
                  <from>
                    <xdr:col>16</xdr:col>
                    <xdr:colOff>15240</xdr:colOff>
                    <xdr:row>15</xdr:row>
                    <xdr:rowOff>0</xdr:rowOff>
                  </from>
                  <to>
                    <xdr:col>17</xdr:col>
                    <xdr:colOff>114300</xdr:colOff>
                    <xdr:row>16</xdr:row>
                    <xdr:rowOff>53340</xdr:rowOff>
                  </to>
                </anchor>
              </controlPr>
            </control>
          </mc:Choice>
        </mc:AlternateContent>
        <mc:AlternateContent xmlns:mc="http://schemas.openxmlformats.org/markup-compatibility/2006">
          <mc:Choice Requires="x14">
            <control shapeId="159802" r:id="rId17" name="Option Button 13">
              <controlPr defaultSize="0" autoFill="0" autoLine="0" autoPict="0" macro="[0]!OpBtn_Click">
                <anchor moveWithCells="1">
                  <from>
                    <xdr:col>16</xdr:col>
                    <xdr:colOff>15240</xdr:colOff>
                    <xdr:row>15</xdr:row>
                    <xdr:rowOff>198120</xdr:rowOff>
                  </from>
                  <to>
                    <xdr:col>17</xdr:col>
                    <xdr:colOff>114300</xdr:colOff>
                    <xdr:row>17</xdr:row>
                    <xdr:rowOff>38100</xdr:rowOff>
                  </to>
                </anchor>
              </controlPr>
            </control>
          </mc:Choice>
        </mc:AlternateContent>
        <mc:AlternateContent xmlns:mc="http://schemas.openxmlformats.org/markup-compatibility/2006">
          <mc:Choice Requires="x14">
            <control shapeId="159803" r:id="rId18" name="Option Button 14">
              <controlPr defaultSize="0" autoFill="0" autoLine="0" autoPict="0" macro="[0]!OpBtn_Click">
                <anchor moveWithCells="1">
                  <from>
                    <xdr:col>16</xdr:col>
                    <xdr:colOff>15240</xdr:colOff>
                    <xdr:row>17</xdr:row>
                    <xdr:rowOff>0</xdr:rowOff>
                  </from>
                  <to>
                    <xdr:col>17</xdr:col>
                    <xdr:colOff>114300</xdr:colOff>
                    <xdr:row>18</xdr:row>
                    <xdr:rowOff>53340</xdr:rowOff>
                  </to>
                </anchor>
              </controlPr>
            </control>
          </mc:Choice>
        </mc:AlternateContent>
        <mc:AlternateContent xmlns:mc="http://schemas.openxmlformats.org/markup-compatibility/2006">
          <mc:Choice Requires="x14">
            <control shapeId="159804" r:id="rId19" name="Option Button 15">
              <controlPr defaultSize="0" autoFill="0" autoLine="0" autoPict="0" macro="[0]!OpBtn_Click">
                <anchor moveWithCells="1">
                  <from>
                    <xdr:col>16</xdr:col>
                    <xdr:colOff>15240</xdr:colOff>
                    <xdr:row>17</xdr:row>
                    <xdr:rowOff>198120</xdr:rowOff>
                  </from>
                  <to>
                    <xdr:col>17</xdr:col>
                    <xdr:colOff>114300</xdr:colOff>
                    <xdr:row>19</xdr:row>
                    <xdr:rowOff>38100</xdr:rowOff>
                  </to>
                </anchor>
              </controlPr>
            </control>
          </mc:Choice>
        </mc:AlternateContent>
        <mc:AlternateContent xmlns:mc="http://schemas.openxmlformats.org/markup-compatibility/2006">
          <mc:Choice Requires="x14">
            <control shapeId="159805" r:id="rId20" name="Option Button 16">
              <controlPr defaultSize="0" autoFill="0" autoLine="0" autoPict="0" macro="[0]!OpBtn_Click">
                <anchor moveWithCells="1">
                  <from>
                    <xdr:col>16</xdr:col>
                    <xdr:colOff>15240</xdr:colOff>
                    <xdr:row>18</xdr:row>
                    <xdr:rowOff>190500</xdr:rowOff>
                  </from>
                  <to>
                    <xdr:col>17</xdr:col>
                    <xdr:colOff>114300</xdr:colOff>
                    <xdr:row>20</xdr:row>
                    <xdr:rowOff>30480</xdr:rowOff>
                  </to>
                </anchor>
              </controlPr>
            </control>
          </mc:Choice>
        </mc:AlternateContent>
        <mc:AlternateContent xmlns:mc="http://schemas.openxmlformats.org/markup-compatibility/2006">
          <mc:Choice Requires="x14">
            <control shapeId="159806" r:id="rId21" name="Option Button 17">
              <controlPr defaultSize="0" autoFill="0" autoLine="0" autoPict="0" macro="[0]!OpBtn_Click">
                <anchor moveWithCells="1">
                  <from>
                    <xdr:col>16</xdr:col>
                    <xdr:colOff>15240</xdr:colOff>
                    <xdr:row>19</xdr:row>
                    <xdr:rowOff>205740</xdr:rowOff>
                  </from>
                  <to>
                    <xdr:col>17</xdr:col>
                    <xdr:colOff>114300</xdr:colOff>
                    <xdr:row>21</xdr:row>
                    <xdr:rowOff>45720</xdr:rowOff>
                  </to>
                </anchor>
              </controlPr>
            </control>
          </mc:Choice>
        </mc:AlternateContent>
        <mc:AlternateContent xmlns:mc="http://schemas.openxmlformats.org/markup-compatibility/2006">
          <mc:Choice Requires="x14">
            <control shapeId="159807" r:id="rId22" name="Option Button 18">
              <controlPr defaultSize="0" autoFill="0" autoLine="0" autoPict="0" macro="[0]!OpBtn_Click">
                <anchor moveWithCells="1">
                  <from>
                    <xdr:col>16</xdr:col>
                    <xdr:colOff>15240</xdr:colOff>
                    <xdr:row>20</xdr:row>
                    <xdr:rowOff>205740</xdr:rowOff>
                  </from>
                  <to>
                    <xdr:col>17</xdr:col>
                    <xdr:colOff>114300</xdr:colOff>
                    <xdr:row>22</xdr:row>
                    <xdr:rowOff>45720</xdr:rowOff>
                  </to>
                </anchor>
              </controlPr>
            </control>
          </mc:Choice>
        </mc:AlternateContent>
        <mc:AlternateContent xmlns:mc="http://schemas.openxmlformats.org/markup-compatibility/2006">
          <mc:Choice Requires="x14">
            <control shapeId="159808" r:id="rId23" name="Option Button 19">
              <controlPr defaultSize="0" autoFill="0" autoLine="0" autoPict="0" macro="[0]!OpBtn_Click">
                <anchor moveWithCells="1">
                  <from>
                    <xdr:col>16</xdr:col>
                    <xdr:colOff>15240</xdr:colOff>
                    <xdr:row>21</xdr:row>
                    <xdr:rowOff>198120</xdr:rowOff>
                  </from>
                  <to>
                    <xdr:col>17</xdr:col>
                    <xdr:colOff>114300</xdr:colOff>
                    <xdr:row>23</xdr:row>
                    <xdr:rowOff>38100</xdr:rowOff>
                  </to>
                </anchor>
              </controlPr>
            </control>
          </mc:Choice>
        </mc:AlternateContent>
        <mc:AlternateContent xmlns:mc="http://schemas.openxmlformats.org/markup-compatibility/2006">
          <mc:Choice Requires="x14">
            <control shapeId="159809" r:id="rId24" name="Option Button 20">
              <controlPr defaultSize="0" autoFill="0" autoLine="0" autoPict="0" macro="[0]!OpBtn_Click">
                <anchor moveWithCells="1">
                  <from>
                    <xdr:col>16</xdr:col>
                    <xdr:colOff>15240</xdr:colOff>
                    <xdr:row>23</xdr:row>
                    <xdr:rowOff>0</xdr:rowOff>
                  </from>
                  <to>
                    <xdr:col>17</xdr:col>
                    <xdr:colOff>114300</xdr:colOff>
                    <xdr:row>24</xdr:row>
                    <xdr:rowOff>53340</xdr:rowOff>
                  </to>
                </anchor>
              </controlPr>
            </control>
          </mc:Choice>
        </mc:AlternateContent>
        <mc:AlternateContent xmlns:mc="http://schemas.openxmlformats.org/markup-compatibility/2006">
          <mc:Choice Requires="x14">
            <control shapeId="159810" r:id="rId25" name="Option Button 21">
              <controlPr defaultSize="0" autoFill="0" autoLine="0" autoPict="0" macro="[0]!OpBtn_Click">
                <anchor moveWithCells="1">
                  <from>
                    <xdr:col>16</xdr:col>
                    <xdr:colOff>15240</xdr:colOff>
                    <xdr:row>23</xdr:row>
                    <xdr:rowOff>198120</xdr:rowOff>
                  </from>
                  <to>
                    <xdr:col>17</xdr:col>
                    <xdr:colOff>114300</xdr:colOff>
                    <xdr:row>25</xdr:row>
                    <xdr:rowOff>38100</xdr:rowOff>
                  </to>
                </anchor>
              </controlPr>
            </control>
          </mc:Choice>
        </mc:AlternateContent>
        <mc:AlternateContent xmlns:mc="http://schemas.openxmlformats.org/markup-compatibility/2006">
          <mc:Choice Requires="x14">
            <control shapeId="159811" r:id="rId26" name="Option Button 22">
              <controlPr defaultSize="0" autoFill="0" autoLine="0" autoPict="0" macro="[0]!OpBtn_Click">
                <anchor moveWithCells="1">
                  <from>
                    <xdr:col>16</xdr:col>
                    <xdr:colOff>15240</xdr:colOff>
                    <xdr:row>24</xdr:row>
                    <xdr:rowOff>198120</xdr:rowOff>
                  </from>
                  <to>
                    <xdr:col>17</xdr:col>
                    <xdr:colOff>114300</xdr:colOff>
                    <xdr:row>26</xdr:row>
                    <xdr:rowOff>38100</xdr:rowOff>
                  </to>
                </anchor>
              </controlPr>
            </control>
          </mc:Choice>
        </mc:AlternateContent>
        <mc:AlternateContent xmlns:mc="http://schemas.openxmlformats.org/markup-compatibility/2006">
          <mc:Choice Requires="x14">
            <control shapeId="159812" r:id="rId27" name="Option Button 23">
              <controlPr defaultSize="0" autoFill="0" autoLine="0" autoPict="0" macro="[0]!OpBtn_Click">
                <anchor moveWithCells="1">
                  <from>
                    <xdr:col>16</xdr:col>
                    <xdr:colOff>15240</xdr:colOff>
                    <xdr:row>25</xdr:row>
                    <xdr:rowOff>205740</xdr:rowOff>
                  </from>
                  <to>
                    <xdr:col>17</xdr:col>
                    <xdr:colOff>114300</xdr:colOff>
                    <xdr:row>27</xdr:row>
                    <xdr:rowOff>45720</xdr:rowOff>
                  </to>
                </anchor>
              </controlPr>
            </control>
          </mc:Choice>
        </mc:AlternateContent>
        <mc:AlternateContent xmlns:mc="http://schemas.openxmlformats.org/markup-compatibility/2006">
          <mc:Choice Requires="x14">
            <control shapeId="159813" r:id="rId28" name="Option Button 24">
              <controlPr defaultSize="0" autoFill="0" autoLine="0" autoPict="0" macro="[0]!OpBtn_Click">
                <anchor moveWithCells="1">
                  <from>
                    <xdr:col>16</xdr:col>
                    <xdr:colOff>15240</xdr:colOff>
                    <xdr:row>26</xdr:row>
                    <xdr:rowOff>198120</xdr:rowOff>
                  </from>
                  <to>
                    <xdr:col>17</xdr:col>
                    <xdr:colOff>114300</xdr:colOff>
                    <xdr:row>28</xdr:row>
                    <xdr:rowOff>38100</xdr:rowOff>
                  </to>
                </anchor>
              </controlPr>
            </control>
          </mc:Choice>
        </mc:AlternateContent>
        <mc:AlternateContent xmlns:mc="http://schemas.openxmlformats.org/markup-compatibility/2006">
          <mc:Choice Requires="x14">
            <control shapeId="159814" r:id="rId29" name="Option Button 25">
              <controlPr defaultSize="0" autoFill="0" autoLine="0" autoPict="0" macro="[0]!OpBtn_Click">
                <anchor moveWithCells="1">
                  <from>
                    <xdr:col>16</xdr:col>
                    <xdr:colOff>15240</xdr:colOff>
                    <xdr:row>27</xdr:row>
                    <xdr:rowOff>190500</xdr:rowOff>
                  </from>
                  <to>
                    <xdr:col>17</xdr:col>
                    <xdr:colOff>114300</xdr:colOff>
                    <xdr:row>29</xdr:row>
                    <xdr:rowOff>30480</xdr:rowOff>
                  </to>
                </anchor>
              </controlPr>
            </control>
          </mc:Choice>
        </mc:AlternateContent>
        <mc:AlternateContent xmlns:mc="http://schemas.openxmlformats.org/markup-compatibility/2006">
          <mc:Choice Requires="x14">
            <control shapeId="159815" r:id="rId30" name="Option Button 26">
              <controlPr defaultSize="0" autoFill="0" autoLine="0" autoPict="0" macro="[0]!OpBtn_Click">
                <anchor moveWithCells="1">
                  <from>
                    <xdr:col>16</xdr:col>
                    <xdr:colOff>15240</xdr:colOff>
                    <xdr:row>28</xdr:row>
                    <xdr:rowOff>205740</xdr:rowOff>
                  </from>
                  <to>
                    <xdr:col>17</xdr:col>
                    <xdr:colOff>114300</xdr:colOff>
                    <xdr:row>30</xdr:row>
                    <xdr:rowOff>45720</xdr:rowOff>
                  </to>
                </anchor>
              </controlPr>
            </control>
          </mc:Choice>
        </mc:AlternateContent>
        <mc:AlternateContent xmlns:mc="http://schemas.openxmlformats.org/markup-compatibility/2006">
          <mc:Choice Requires="x14">
            <control shapeId="159816" r:id="rId31" name="Option Button 27">
              <controlPr defaultSize="0" autoFill="0" autoLine="0" autoPict="0" macro="[0]!OpBtn_Click">
                <anchor moveWithCells="1">
                  <from>
                    <xdr:col>16</xdr:col>
                    <xdr:colOff>15240</xdr:colOff>
                    <xdr:row>29</xdr:row>
                    <xdr:rowOff>205740</xdr:rowOff>
                  </from>
                  <to>
                    <xdr:col>17</xdr:col>
                    <xdr:colOff>114300</xdr:colOff>
                    <xdr:row>31</xdr:row>
                    <xdr:rowOff>45720</xdr:rowOff>
                  </to>
                </anchor>
              </controlPr>
            </control>
          </mc:Choice>
        </mc:AlternateContent>
        <mc:AlternateContent xmlns:mc="http://schemas.openxmlformats.org/markup-compatibility/2006">
          <mc:Choice Requires="x14">
            <control shapeId="159817" r:id="rId32" name="Option Button 28">
              <controlPr defaultSize="0" autoFill="0" autoLine="0" autoPict="0" macro="[0]!OpBtn_Click">
                <anchor moveWithCells="1">
                  <from>
                    <xdr:col>16</xdr:col>
                    <xdr:colOff>15240</xdr:colOff>
                    <xdr:row>30</xdr:row>
                    <xdr:rowOff>198120</xdr:rowOff>
                  </from>
                  <to>
                    <xdr:col>17</xdr:col>
                    <xdr:colOff>114300</xdr:colOff>
                    <xdr:row>32</xdr:row>
                    <xdr:rowOff>38100</xdr:rowOff>
                  </to>
                </anchor>
              </controlPr>
            </control>
          </mc:Choice>
        </mc:AlternateContent>
        <mc:AlternateContent xmlns:mc="http://schemas.openxmlformats.org/markup-compatibility/2006">
          <mc:Choice Requires="x14">
            <control shapeId="159818" r:id="rId33" name="Option Button 29">
              <controlPr defaultSize="0" autoFill="0" autoLine="0" autoPict="0" macro="[0]!OpBtn_Click">
                <anchor moveWithCells="1">
                  <from>
                    <xdr:col>16</xdr:col>
                    <xdr:colOff>15240</xdr:colOff>
                    <xdr:row>31</xdr:row>
                    <xdr:rowOff>190500</xdr:rowOff>
                  </from>
                  <to>
                    <xdr:col>17</xdr:col>
                    <xdr:colOff>114300</xdr:colOff>
                    <xdr:row>33</xdr:row>
                    <xdr:rowOff>30480</xdr:rowOff>
                  </to>
                </anchor>
              </controlPr>
            </control>
          </mc:Choice>
        </mc:AlternateContent>
        <mc:AlternateContent xmlns:mc="http://schemas.openxmlformats.org/markup-compatibility/2006">
          <mc:Choice Requires="x14">
            <control shapeId="159819" r:id="rId34" name="Option Button 30">
              <controlPr defaultSize="0" autoFill="0" autoLine="0" autoPict="0" macro="[0]!OpBtn_Click">
                <anchor moveWithCells="1">
                  <from>
                    <xdr:col>16</xdr:col>
                    <xdr:colOff>15240</xdr:colOff>
                    <xdr:row>32</xdr:row>
                    <xdr:rowOff>190500</xdr:rowOff>
                  </from>
                  <to>
                    <xdr:col>17</xdr:col>
                    <xdr:colOff>114300</xdr:colOff>
                    <xdr:row>34</xdr:row>
                    <xdr:rowOff>30480</xdr:rowOff>
                  </to>
                </anchor>
              </controlPr>
            </control>
          </mc:Choice>
        </mc:AlternateContent>
        <mc:AlternateContent xmlns:mc="http://schemas.openxmlformats.org/markup-compatibility/2006">
          <mc:Choice Requires="x14">
            <control shapeId="159820" r:id="rId35" name="Option Button 31">
              <controlPr defaultSize="0" autoFill="0" autoLine="0" autoPict="0" macro="[0]!OpBtn_Click">
                <anchor moveWithCells="1">
                  <from>
                    <xdr:col>16</xdr:col>
                    <xdr:colOff>15240</xdr:colOff>
                    <xdr:row>33</xdr:row>
                    <xdr:rowOff>190500</xdr:rowOff>
                  </from>
                  <to>
                    <xdr:col>17</xdr:col>
                    <xdr:colOff>114300</xdr:colOff>
                    <xdr:row>35</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6" id="{B4223F69-3B7E-4C4B-865A-B2B452261C97}">
            <x14:iconSet iconSet="3Symbols2" showValue="0" custom="1">
              <x14:cfvo type="percent">
                <xm:f>0</xm:f>
              </x14:cfvo>
              <x14:cfvo type="num">
                <xm:f>0</xm:f>
              </x14:cfvo>
              <x14:cfvo type="num">
                <xm:f>1</xm:f>
              </x14:cfvo>
              <x14:cfIcon iconSet="3Signs" iconId="1"/>
              <x14:cfIcon iconSet="4RedToBlack" iconId="1"/>
              <x14:cfIcon iconSet="3Symbols" iconId="2"/>
            </x14:iconSet>
          </x14:cfRule>
          <xm:sqref>G4:G14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MonthVal" prompt="Select the month that represents this sheet">
          <x14:formula1>
            <xm:f>_controls!$B$21:$B$32</xm:f>
          </x14:formula1>
          <xm:sqref>F1</xm:sqref>
        </x14:dataValidation>
        <x14:dataValidation type="list" allowBlank="1" showErrorMessage="1" promptTitle="ExpenseType" prompt="Au = &quot;Automatic&quot;. Ma =&quot;Manual&quot;. Select &quot;Au&quot; if this expense goes out automatically, &quot;Ma&quot; if you initate payment monthly yourself.">
          <x14:formula1>
            <xm:f>_controls!$D$21:$D$22</xm:f>
          </x14:formula1>
          <xm:sqref>B4:B14</xm:sqref>
        </x14:dataValidation>
        <x14:dataValidation type="list" allowBlank="1" showInputMessage="1" showErrorMessage="1">
          <x14:formula1>
            <xm:f>_controls!$E$21:$E$23</xm:f>
          </x14:formula1>
          <xm:sqref>G4:G14</xm:sqref>
        </x14:dataValidation>
        <x14:dataValidation type="list" allowBlank="1" showInputMessage="1" showErrorMessage="1">
          <x14:formula1>
            <xm:f>_controls!$F$21:$F$38</xm:f>
          </x14:formula1>
          <xm:sqref>P5:P35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8"/>
  <sheetViews>
    <sheetView zoomScaleNormal="100" workbookViewId="0">
      <selection activeCell="S2" sqref="S2"/>
    </sheetView>
  </sheetViews>
  <sheetFormatPr defaultColWidth="8.796875" defaultRowHeight="17.399999999999999"/>
  <cols>
    <col min="1" max="1" width="4" customWidth="1"/>
    <col min="2" max="2" width="4.796875" customWidth="1"/>
    <col min="3" max="3" width="4.296875" customWidth="1"/>
    <col min="4" max="4" width="3.796875" customWidth="1"/>
    <col min="5" max="5" width="10.296875" customWidth="1"/>
    <col min="6" max="6" width="9.296875" customWidth="1"/>
    <col min="7" max="7" width="3.296875" customWidth="1"/>
    <col min="8" max="8" width="7.796875" customWidth="1"/>
    <col min="9" max="9" width="11.796875" customWidth="1"/>
    <col min="10" max="10" width="10.5" customWidth="1"/>
    <col min="11" max="11" width="5.296875" customWidth="1"/>
    <col min="12" max="12" width="3.5" customWidth="1"/>
    <col min="13" max="13" width="12.19921875" customWidth="1"/>
    <col min="14" max="14" width="9.19921875" customWidth="1"/>
    <col min="16" max="17" width="3.796875" customWidth="1"/>
    <col min="18" max="18" width="11.69921875" customWidth="1"/>
    <col min="20" max="20" width="7.296875" customWidth="1"/>
    <col min="21" max="21" width="11.69921875" customWidth="1"/>
    <col min="30" max="30" width="6.19921875" customWidth="1"/>
  </cols>
  <sheetData>
    <row r="1" spans="1:30" ht="31.2" thickBot="1">
      <c r="C1" s="124" t="s">
        <v>30</v>
      </c>
      <c r="D1" s="124"/>
      <c r="E1" s="124"/>
      <c r="F1" s="31">
        <v>11</v>
      </c>
      <c r="G1" s="28" t="s">
        <v>20</v>
      </c>
      <c r="H1" s="32">
        <v>2017</v>
      </c>
      <c r="M1" s="34" t="s">
        <v>5</v>
      </c>
      <c r="N1" s="50" t="s">
        <v>91</v>
      </c>
      <c r="O1" s="30"/>
      <c r="P1" s="30"/>
      <c r="Q1" s="30"/>
      <c r="R1" s="94" t="s">
        <v>90</v>
      </c>
    </row>
    <row r="2" spans="1:30" ht="17.55" customHeight="1">
      <c r="M2" s="33">
        <f>VLOOKUP(F1,_controls!B21:C32,2,TRUE)</f>
        <v>30</v>
      </c>
      <c r="N2" s="44">
        <v>50</v>
      </c>
      <c r="R2" s="93">
        <f>J7-IF(ISNUMBER(J11),J11,J12)+IF(ISNUMBER(J15),J15,0)</f>
        <v>1500</v>
      </c>
      <c r="T2" s="130" t="s">
        <v>72</v>
      </c>
      <c r="U2" s="131"/>
      <c r="AB2" s="136" t="s">
        <v>102</v>
      </c>
      <c r="AC2" s="136"/>
      <c r="AD2" s="136"/>
    </row>
    <row r="3" spans="1:30" ht="17.55" customHeight="1">
      <c r="B3" s="76" t="s">
        <v>54</v>
      </c>
      <c r="C3" s="1" t="s">
        <v>77</v>
      </c>
      <c r="F3" s="1"/>
      <c r="G3" s="1"/>
      <c r="I3" s="115" t="s">
        <v>82</v>
      </c>
      <c r="J3" s="116"/>
      <c r="T3" s="132"/>
      <c r="U3" s="133"/>
      <c r="AB3" s="136">
        <v>1</v>
      </c>
      <c r="AC3" s="136"/>
      <c r="AD3" s="136"/>
    </row>
    <row r="4" spans="1:30" ht="16.95" customHeight="1">
      <c r="A4" s="65"/>
      <c r="B4" s="51" t="s">
        <v>26</v>
      </c>
      <c r="C4" s="83" t="str">
        <f>MonthVal&amp;"/"</f>
        <v>11/</v>
      </c>
      <c r="D4" s="70">
        <v>20</v>
      </c>
      <c r="E4" s="38" t="s">
        <v>71</v>
      </c>
      <c r="F4" s="61">
        <v>272.18</v>
      </c>
      <c r="G4" s="39">
        <v>0</v>
      </c>
      <c r="I4" s="1" t="s">
        <v>24</v>
      </c>
      <c r="J4" s="43">
        <v>4200</v>
      </c>
      <c r="L4" s="60"/>
      <c r="M4" s="36" t="s">
        <v>3</v>
      </c>
      <c r="N4" s="4" t="s">
        <v>21</v>
      </c>
      <c r="O4" s="36" t="s">
        <v>4</v>
      </c>
      <c r="P4" s="36"/>
      <c r="Q4" s="36"/>
      <c r="R4" s="37" t="s">
        <v>22</v>
      </c>
      <c r="T4" s="134">
        <f>IF(ISNUMBER(R35),R35,IF(ISNUMBER(R34),R34,IF(ISNUMBER(R33),R33,IF(ISNUMBER(R32),R32,"ERROR"))))</f>
        <v>267.85000000000002</v>
      </c>
      <c r="U4" s="135"/>
      <c r="AB4" s="136" t="s">
        <v>103</v>
      </c>
      <c r="AC4" s="136" t="s">
        <v>104</v>
      </c>
      <c r="AD4" s="136" t="s">
        <v>105</v>
      </c>
    </row>
    <row r="5" spans="1:30" ht="16.95" customHeight="1">
      <c r="A5" s="65"/>
      <c r="B5" s="51" t="s">
        <v>27</v>
      </c>
      <c r="C5" s="83" t="str">
        <f t="shared" ref="C5:C14" si="0">MonthVal&amp;"/"</f>
        <v>11/</v>
      </c>
      <c r="D5" s="71">
        <v>9</v>
      </c>
      <c r="E5" s="38" t="s">
        <v>1</v>
      </c>
      <c r="F5" s="62">
        <v>154.41</v>
      </c>
      <c r="G5" s="39">
        <v>0</v>
      </c>
      <c r="I5" s="35" t="s">
        <v>83</v>
      </c>
      <c r="J5" s="49" t="str">
        <f>"$"&amp;SUM(F4:F16)</f>
        <v>$1916.63</v>
      </c>
      <c r="K5" s="41"/>
      <c r="L5" s="84" t="str">
        <f t="shared" ref="L5:L35" si="1">IF( AND(ISERROR(MATCH(ROW(FH1)+0,$D$4:$D$14,0))=FALSE, IF(ISERROR(MATCH(ROW(FH1)+0,$D$4:$D$14,0))=FALSE, INDEX($B$4:$B$14,MATCH(ROW(FH1)+0,$D$4:$D$14,0))="Ma",FALSE) ),"★",          IF(ISERROR(MATCH(ROW(FH1)+0,$D$19:$D$23,0))=FALSE,INDEX($B$19:$B$23,MATCH(ROW(FH1)+0,$D$19:$D$23,0)),"")         )</f>
        <v/>
      </c>
      <c r="M5" s="29">
        <f>IF(MONTH(DATE(YearVal,MonthVal,ROW(FH1)))&gt;MonthVal,"",DATE(YearVal,MonthVal,ROW(FH1)))</f>
        <v>43040</v>
      </c>
      <c r="N5" s="53" t="str">
        <f>"+$"&amp;ROUND(R2/M2,2)</f>
        <v>+$50</v>
      </c>
      <c r="O5" s="45">
        <f>3.45+0.5</f>
        <v>3.95</v>
      </c>
      <c r="P5" s="45"/>
      <c r="Q5" s="45"/>
      <c r="R5" s="40">
        <f>R2-IF(ISNUMBER(O5),O5,N5)</f>
        <v>1496.05</v>
      </c>
      <c r="AB5" s="136">
        <v>1</v>
      </c>
      <c r="AC5" s="136" t="s">
        <v>116</v>
      </c>
      <c r="AD5" s="136" t="s">
        <v>123</v>
      </c>
    </row>
    <row r="6" spans="1:30" ht="16.95" customHeight="1" thickBot="1">
      <c r="A6" s="65"/>
      <c r="B6" s="51" t="s">
        <v>26</v>
      </c>
      <c r="C6" s="83" t="str">
        <f t="shared" si="0"/>
        <v>11/</v>
      </c>
      <c r="D6" s="71">
        <v>15</v>
      </c>
      <c r="E6" s="38" t="s">
        <v>0</v>
      </c>
      <c r="F6" s="63">
        <v>67.89</v>
      </c>
      <c r="G6" s="39">
        <v>0</v>
      </c>
      <c r="I6" s="1" t="s">
        <v>93</v>
      </c>
      <c r="K6" s="10"/>
      <c r="L6" s="84" t="str">
        <f t="shared" si="1"/>
        <v>+</v>
      </c>
      <c r="M6" s="29">
        <f t="shared" ref="M6:M35" si="2">IF(MONTH(DATE(YearVal,MonthVal,ROW(FH2)))&gt;MonthVal,"",DATE(YearVal,MonthVal,ROW(FH2)))</f>
        <v>43041</v>
      </c>
      <c r="N6" s="52" t="str">
        <f t="shared" ref="N6:N35" si="3">IF(M6="","",MoneyBuffer)</f>
        <v>+$50</v>
      </c>
      <c r="O6" s="46">
        <f>10.5+1.35+2.65+0.1</f>
        <v>14.6</v>
      </c>
      <c r="P6" s="46" t="s">
        <v>55</v>
      </c>
      <c r="Q6" s="46"/>
      <c r="R6" s="40">
        <f>IF(M6="","",R5-IF(ISNUMBER(O6),O6,N6))</f>
        <v>1481.45</v>
      </c>
      <c r="T6" s="109" t="s">
        <v>117</v>
      </c>
      <c r="AB6" s="136">
        <v>2</v>
      </c>
      <c r="AC6" s="136" t="s">
        <v>124</v>
      </c>
      <c r="AD6" s="136" t="s">
        <v>125</v>
      </c>
    </row>
    <row r="7" spans="1:30" ht="16.95" customHeight="1">
      <c r="A7" s="65"/>
      <c r="B7" s="51" t="s">
        <v>27</v>
      </c>
      <c r="C7" s="83" t="str">
        <f t="shared" si="0"/>
        <v>11/</v>
      </c>
      <c r="D7" s="71">
        <v>27</v>
      </c>
      <c r="E7" s="38" t="s">
        <v>23</v>
      </c>
      <c r="F7" s="62">
        <v>1055</v>
      </c>
      <c r="G7" s="39">
        <v>0</v>
      </c>
      <c r="I7" s="42"/>
      <c r="J7" s="95" t="str">
        <f>"$"&amp;(J4-J5)</f>
        <v>$2283.37</v>
      </c>
      <c r="L7" s="84" t="str">
        <f t="shared" si="1"/>
        <v/>
      </c>
      <c r="M7" s="29">
        <f t="shared" si="2"/>
        <v>43042</v>
      </c>
      <c r="N7" s="47" t="str">
        <f t="shared" si="3"/>
        <v>+$50</v>
      </c>
      <c r="O7" s="45">
        <f>0</f>
        <v>0</v>
      </c>
      <c r="P7" s="45" t="s">
        <v>76</v>
      </c>
      <c r="Q7" s="45"/>
      <c r="R7" s="40">
        <f t="shared" ref="R7:R35" si="4">IF(M7="","",R6-IF(ISNUMBER(O7),O7,N7))</f>
        <v>1481.45</v>
      </c>
      <c r="T7" s="110" t="s">
        <v>100</v>
      </c>
      <c r="U7" s="111" t="s">
        <v>101</v>
      </c>
      <c r="AB7" s="136">
        <v>3</v>
      </c>
      <c r="AC7" s="136">
        <v>0</v>
      </c>
      <c r="AD7" s="136"/>
    </row>
    <row r="8" spans="1:30" ht="16.95" customHeight="1">
      <c r="A8" s="65"/>
      <c r="B8" s="51" t="s">
        <v>27</v>
      </c>
      <c r="C8" s="83" t="str">
        <f t="shared" si="0"/>
        <v>11/</v>
      </c>
      <c r="D8" s="71">
        <v>25</v>
      </c>
      <c r="E8" s="38" t="s">
        <v>33</v>
      </c>
      <c r="F8" s="62">
        <v>97.5</v>
      </c>
      <c r="G8" s="39">
        <v>0</v>
      </c>
      <c r="L8" s="84" t="str">
        <f t="shared" si="1"/>
        <v/>
      </c>
      <c r="M8" s="29">
        <f t="shared" si="2"/>
        <v>43043</v>
      </c>
      <c r="N8" s="47" t="str">
        <f t="shared" si="3"/>
        <v>+$50</v>
      </c>
      <c r="O8" s="46">
        <f>0</f>
        <v>0</v>
      </c>
      <c r="P8" s="46"/>
      <c r="Q8" s="46"/>
      <c r="R8" s="40">
        <f t="shared" si="4"/>
        <v>1481.45</v>
      </c>
      <c r="T8" s="137">
        <v>3.45</v>
      </c>
      <c r="U8" s="141" t="s">
        <v>114</v>
      </c>
      <c r="V8" s="142"/>
      <c r="W8" s="142"/>
      <c r="AB8" s="136">
        <v>4</v>
      </c>
      <c r="AC8" s="136">
        <v>0</v>
      </c>
      <c r="AD8" s="136"/>
    </row>
    <row r="9" spans="1:30" ht="16.95" customHeight="1" thickBot="1">
      <c r="A9" s="65"/>
      <c r="B9" s="51" t="s">
        <v>26</v>
      </c>
      <c r="C9" s="83" t="str">
        <f t="shared" si="0"/>
        <v>11/</v>
      </c>
      <c r="D9" s="71">
        <v>18</v>
      </c>
      <c r="E9" s="38" t="s">
        <v>29</v>
      </c>
      <c r="F9" s="64">
        <v>85.65</v>
      </c>
      <c r="G9" s="39">
        <v>0</v>
      </c>
      <c r="L9" s="84" t="str">
        <f t="shared" si="1"/>
        <v/>
      </c>
      <c r="M9" s="29">
        <f t="shared" si="2"/>
        <v>43044</v>
      </c>
      <c r="N9" s="47" t="str">
        <f t="shared" si="3"/>
        <v>+$50</v>
      </c>
      <c r="O9" s="45">
        <f>7+1.5</f>
        <v>8.5</v>
      </c>
      <c r="P9" s="45"/>
      <c r="Q9" s="45"/>
      <c r="R9" s="40">
        <f t="shared" si="4"/>
        <v>1472.95</v>
      </c>
      <c r="T9" s="138">
        <v>0.5</v>
      </c>
      <c r="U9" s="141" t="s">
        <v>115</v>
      </c>
      <c r="V9" s="143"/>
      <c r="W9" s="143"/>
      <c r="AB9" s="136">
        <v>5</v>
      </c>
      <c r="AC9" s="136" t="s">
        <v>118</v>
      </c>
      <c r="AD9" s="136" t="s">
        <v>119</v>
      </c>
    </row>
    <row r="10" spans="1:30" ht="16.95" customHeight="1">
      <c r="A10" s="65"/>
      <c r="B10" s="51" t="s">
        <v>26</v>
      </c>
      <c r="C10" s="83" t="str">
        <f t="shared" si="0"/>
        <v>11/</v>
      </c>
      <c r="D10" s="71">
        <v>16</v>
      </c>
      <c r="E10" s="38" t="s">
        <v>2</v>
      </c>
      <c r="F10" s="62">
        <v>140</v>
      </c>
      <c r="G10" s="39">
        <v>0</v>
      </c>
      <c r="I10" s="117" t="s">
        <v>92</v>
      </c>
      <c r="J10" s="118"/>
      <c r="L10" s="84" t="str">
        <f t="shared" si="1"/>
        <v/>
      </c>
      <c r="M10" s="29">
        <f t="shared" si="2"/>
        <v>43045</v>
      </c>
      <c r="N10" s="47" t="str">
        <f t="shared" si="3"/>
        <v>+$50</v>
      </c>
      <c r="O10" s="46" t="s">
        <v>120</v>
      </c>
      <c r="P10" s="46" t="s">
        <v>56</v>
      </c>
      <c r="Q10" s="46"/>
      <c r="R10" s="40">
        <f t="shared" si="4"/>
        <v>1422.95</v>
      </c>
      <c r="T10" s="137"/>
      <c r="U10" s="141"/>
      <c r="V10" s="144"/>
      <c r="W10" s="144"/>
      <c r="AB10" s="136">
        <v>6</v>
      </c>
      <c r="AC10" s="136"/>
      <c r="AD10" s="136"/>
    </row>
    <row r="11" spans="1:30" ht="16.95" customHeight="1">
      <c r="A11" s="65"/>
      <c r="B11" s="51" t="s">
        <v>26</v>
      </c>
      <c r="C11" s="83" t="str">
        <f t="shared" si="0"/>
        <v>11/</v>
      </c>
      <c r="D11" s="71">
        <v>20</v>
      </c>
      <c r="E11" s="38" t="s">
        <v>34</v>
      </c>
      <c r="F11" s="62">
        <v>11</v>
      </c>
      <c r="G11" s="39">
        <v>0</v>
      </c>
      <c r="I11" s="92" t="s">
        <v>84</v>
      </c>
      <c r="J11" s="87" t="s">
        <v>87</v>
      </c>
      <c r="K11" s="12"/>
      <c r="L11" s="84" t="str">
        <f t="shared" si="1"/>
        <v/>
      </c>
      <c r="M11" s="29">
        <f t="shared" si="2"/>
        <v>43046</v>
      </c>
      <c r="N11" s="47" t="str">
        <f t="shared" si="3"/>
        <v>+$50</v>
      </c>
      <c r="O11" s="45" t="s">
        <v>6</v>
      </c>
      <c r="P11" s="45"/>
      <c r="Q11" s="45"/>
      <c r="R11" s="40">
        <f t="shared" si="4"/>
        <v>1372.95</v>
      </c>
      <c r="T11" s="138"/>
      <c r="U11" s="141"/>
      <c r="V11" s="144"/>
      <c r="W11" s="144"/>
      <c r="AB11" s="136">
        <v>7</v>
      </c>
      <c r="AC11" s="136"/>
      <c r="AD11" s="136"/>
    </row>
    <row r="12" spans="1:30" ht="16.95" customHeight="1" thickBot="1">
      <c r="A12" s="65"/>
      <c r="B12" s="51" t="s">
        <v>26</v>
      </c>
      <c r="C12" s="83" t="str">
        <f t="shared" si="0"/>
        <v>11/</v>
      </c>
      <c r="D12" s="71">
        <v>10</v>
      </c>
      <c r="E12" s="38" t="s">
        <v>32</v>
      </c>
      <c r="F12" s="62">
        <v>23</v>
      </c>
      <c r="G12" s="39">
        <v>0</v>
      </c>
      <c r="I12" s="90" t="s">
        <v>85</v>
      </c>
      <c r="J12" s="91">
        <f>(J7+IF(ISNUMBER(J15),J15,0))-(NumDays*BufferModel)</f>
        <v>783.36999999999989</v>
      </c>
      <c r="L12" s="84" t="str">
        <f t="shared" si="1"/>
        <v>!</v>
      </c>
      <c r="M12" s="29">
        <f t="shared" si="2"/>
        <v>43047</v>
      </c>
      <c r="N12" s="47" t="str">
        <f t="shared" si="3"/>
        <v>+$50</v>
      </c>
      <c r="O12" s="46" t="s">
        <v>6</v>
      </c>
      <c r="P12" s="46"/>
      <c r="Q12" s="46"/>
      <c r="R12" s="40">
        <f t="shared" si="4"/>
        <v>1322.95</v>
      </c>
      <c r="T12" s="137"/>
      <c r="U12" s="141"/>
      <c r="V12" s="144"/>
      <c r="W12" s="144"/>
      <c r="AB12" s="136">
        <v>8</v>
      </c>
      <c r="AC12" s="136"/>
      <c r="AD12" s="136"/>
    </row>
    <row r="13" spans="1:30" ht="16.95" customHeight="1" thickBot="1">
      <c r="A13" s="65"/>
      <c r="B13" s="51" t="s">
        <v>26</v>
      </c>
      <c r="C13" s="83" t="str">
        <f t="shared" si="0"/>
        <v>11/</v>
      </c>
      <c r="D13" s="71" t="s">
        <v>6</v>
      </c>
      <c r="E13" s="67" t="s">
        <v>57</v>
      </c>
      <c r="F13" s="62">
        <v>5</v>
      </c>
      <c r="G13" s="39">
        <v>0</v>
      </c>
      <c r="L13" s="84" t="str">
        <f t="shared" si="1"/>
        <v>★</v>
      </c>
      <c r="M13" s="29">
        <f t="shared" si="2"/>
        <v>43048</v>
      </c>
      <c r="N13" s="47" t="str">
        <f t="shared" si="3"/>
        <v>+$50</v>
      </c>
      <c r="O13" s="45" t="s">
        <v>6</v>
      </c>
      <c r="P13" s="45"/>
      <c r="Q13" s="45"/>
      <c r="R13" s="40">
        <f t="shared" si="4"/>
        <v>1272.95</v>
      </c>
      <c r="T13" s="139"/>
      <c r="U13" s="141"/>
      <c r="V13" s="144"/>
      <c r="W13" s="144"/>
      <c r="AB13" s="136">
        <v>9</v>
      </c>
      <c r="AC13" s="136"/>
      <c r="AD13" s="136"/>
    </row>
    <row r="14" spans="1:30" ht="16.95" customHeight="1">
      <c r="B14" s="66" t="s">
        <v>26</v>
      </c>
      <c r="C14" s="83" t="str">
        <f t="shared" si="0"/>
        <v>11/</v>
      </c>
      <c r="D14" s="71" t="s">
        <v>57</v>
      </c>
      <c r="E14" s="38" t="s">
        <v>57</v>
      </c>
      <c r="F14" s="62">
        <v>5</v>
      </c>
      <c r="G14" s="39">
        <v>0</v>
      </c>
      <c r="I14" s="128" t="s">
        <v>89</v>
      </c>
      <c r="J14" s="129"/>
      <c r="L14" s="84" t="str">
        <f t="shared" si="1"/>
        <v/>
      </c>
      <c r="M14" s="29">
        <f t="shared" si="2"/>
        <v>43049</v>
      </c>
      <c r="N14" s="47" t="str">
        <f t="shared" si="3"/>
        <v>+$50</v>
      </c>
      <c r="O14" s="46" t="s">
        <v>6</v>
      </c>
      <c r="P14" s="46"/>
      <c r="Q14" s="46"/>
      <c r="R14" s="40">
        <f t="shared" si="4"/>
        <v>1222.95</v>
      </c>
      <c r="T14" s="140"/>
      <c r="U14" s="145"/>
      <c r="V14" s="144"/>
      <c r="W14" s="144"/>
      <c r="X14" s="107"/>
      <c r="AB14" s="136">
        <v>10</v>
      </c>
      <c r="AC14" s="136"/>
      <c r="AD14" s="136"/>
    </row>
    <row r="15" spans="1:30" ht="16.95" customHeight="1" thickBot="1">
      <c r="I15" s="88" t="s">
        <v>86</v>
      </c>
      <c r="J15" s="89" t="s">
        <v>87</v>
      </c>
      <c r="L15" s="84" t="str">
        <f t="shared" si="1"/>
        <v/>
      </c>
      <c r="M15" s="29">
        <f t="shared" si="2"/>
        <v>43050</v>
      </c>
      <c r="N15" s="47" t="str">
        <f t="shared" si="3"/>
        <v>+$50</v>
      </c>
      <c r="O15" s="45" t="s">
        <v>6</v>
      </c>
      <c r="P15" s="45"/>
      <c r="Q15" s="45"/>
      <c r="R15" s="40">
        <f t="shared" si="4"/>
        <v>1172.95</v>
      </c>
      <c r="T15" s="139"/>
      <c r="U15" s="141"/>
      <c r="V15" s="146"/>
      <c r="W15" s="144"/>
      <c r="Z15" s="108"/>
      <c r="AB15" s="136">
        <v>11</v>
      </c>
      <c r="AC15" s="136"/>
      <c r="AD15" s="136"/>
    </row>
    <row r="16" spans="1:30" ht="16.95" customHeight="1" thickBot="1">
      <c r="L16" s="84" t="str">
        <f t="shared" si="1"/>
        <v/>
      </c>
      <c r="M16" s="29">
        <f t="shared" si="2"/>
        <v>43051</v>
      </c>
      <c r="N16" s="47" t="str">
        <f t="shared" si="3"/>
        <v>+$50</v>
      </c>
      <c r="O16" s="46" t="s">
        <v>6</v>
      </c>
      <c r="P16" s="46"/>
      <c r="Q16" s="46"/>
      <c r="R16" s="40">
        <f t="shared" si="4"/>
        <v>1122.95</v>
      </c>
      <c r="T16" s="140"/>
      <c r="U16" s="141"/>
      <c r="V16" s="147"/>
      <c r="W16" s="144"/>
      <c r="AB16" s="136">
        <v>12</v>
      </c>
      <c r="AC16" s="136"/>
      <c r="AD16" s="136"/>
    </row>
    <row r="17" spans="2:30" ht="16.95" customHeight="1">
      <c r="B17" s="15" t="s">
        <v>58</v>
      </c>
      <c r="C17" s="15"/>
      <c r="I17" s="121" t="s">
        <v>94</v>
      </c>
      <c r="J17" s="122"/>
      <c r="L17" s="84" t="str">
        <f t="shared" si="1"/>
        <v/>
      </c>
      <c r="M17" s="29">
        <f t="shared" si="2"/>
        <v>43052</v>
      </c>
      <c r="N17" s="47" t="str">
        <f t="shared" si="3"/>
        <v>+$50</v>
      </c>
      <c r="O17" s="45" t="s">
        <v>6</v>
      </c>
      <c r="P17" s="45"/>
      <c r="Q17" s="45"/>
      <c r="R17" s="40">
        <f t="shared" si="4"/>
        <v>1072.95</v>
      </c>
      <c r="T17" s="139"/>
      <c r="U17" s="141"/>
      <c r="V17" s="148"/>
      <c r="W17" s="144"/>
      <c r="AB17" s="136">
        <v>13</v>
      </c>
      <c r="AC17" s="136"/>
      <c r="AD17" s="136"/>
    </row>
    <row r="18" spans="2:30" ht="16.95" customHeight="1">
      <c r="B18" s="81" t="s">
        <v>59</v>
      </c>
      <c r="C18" s="119" t="s">
        <v>62</v>
      </c>
      <c r="D18" s="120"/>
      <c r="E18" s="126" t="s">
        <v>73</v>
      </c>
      <c r="F18" s="127"/>
      <c r="G18" s="127"/>
      <c r="H18" s="14"/>
      <c r="I18" s="96"/>
      <c r="J18" s="97" t="str">
        <f>J7</f>
        <v>$2283.37</v>
      </c>
      <c r="L18" s="84" t="str">
        <f t="shared" si="1"/>
        <v/>
      </c>
      <c r="M18" s="29">
        <f t="shared" si="2"/>
        <v>43053</v>
      </c>
      <c r="N18" s="47" t="str">
        <f t="shared" si="3"/>
        <v>+$50</v>
      </c>
      <c r="O18" s="46" t="s">
        <v>6</v>
      </c>
      <c r="P18" s="46"/>
      <c r="Q18" s="46"/>
      <c r="R18" s="40">
        <f t="shared" si="4"/>
        <v>1022.95</v>
      </c>
      <c r="V18" s="103"/>
      <c r="AB18" s="136">
        <v>14</v>
      </c>
      <c r="AC18" s="136"/>
      <c r="AD18" s="136"/>
    </row>
    <row r="19" spans="2:30" ht="16.95" customHeight="1">
      <c r="B19" s="85" t="s">
        <v>97</v>
      </c>
      <c r="C19" s="82" t="str">
        <f>MonthVal&amp;"/"</f>
        <v>11/</v>
      </c>
      <c r="D19" s="80">
        <v>2</v>
      </c>
      <c r="E19" s="125" t="s">
        <v>99</v>
      </c>
      <c r="F19" s="125"/>
      <c r="G19" s="125"/>
      <c r="I19" s="98" t="s">
        <v>81</v>
      </c>
      <c r="J19" s="99">
        <f>IF(ISNUMBER(J11),J11,J12)</f>
        <v>783.36999999999989</v>
      </c>
      <c r="L19" s="84" t="str">
        <f t="shared" si="1"/>
        <v/>
      </c>
      <c r="M19" s="29">
        <f t="shared" si="2"/>
        <v>43054</v>
      </c>
      <c r="N19" s="47" t="str">
        <f t="shared" si="3"/>
        <v>+$50</v>
      </c>
      <c r="O19" s="45" t="s">
        <v>6</v>
      </c>
      <c r="P19" s="45"/>
      <c r="Q19" s="45"/>
      <c r="R19" s="40">
        <f t="shared" si="4"/>
        <v>972.95</v>
      </c>
      <c r="V19" s="149"/>
      <c r="AB19" s="136">
        <v>15</v>
      </c>
      <c r="AC19" s="136"/>
      <c r="AD19" s="136"/>
    </row>
    <row r="20" spans="2:30" ht="16.95" customHeight="1" thickBot="1">
      <c r="B20" s="85" t="s">
        <v>60</v>
      </c>
      <c r="C20" s="82" t="str">
        <f>MonthVal&amp;"/"</f>
        <v>11/</v>
      </c>
      <c r="D20" s="80">
        <v>8</v>
      </c>
      <c r="E20" s="123" t="s">
        <v>98</v>
      </c>
      <c r="F20" s="123"/>
      <c r="G20" s="123"/>
      <c r="I20" s="100" t="s">
        <v>80</v>
      </c>
      <c r="J20" s="101">
        <f>IF(ISNUMBER(J15),J15,0)</f>
        <v>0</v>
      </c>
      <c r="K20" s="11"/>
      <c r="L20" s="84" t="str">
        <f t="shared" si="1"/>
        <v/>
      </c>
      <c r="M20" s="29">
        <f t="shared" si="2"/>
        <v>43055</v>
      </c>
      <c r="N20" s="47" t="str">
        <f t="shared" si="3"/>
        <v>+$50</v>
      </c>
      <c r="O20" s="46" t="s">
        <v>6</v>
      </c>
      <c r="P20" s="46"/>
      <c r="Q20" s="46"/>
      <c r="R20" s="40">
        <f t="shared" si="4"/>
        <v>922.95</v>
      </c>
      <c r="T20" s="26"/>
      <c r="U20" s="26"/>
      <c r="V20" s="104"/>
      <c r="AB20" s="136">
        <v>16</v>
      </c>
      <c r="AC20" s="136"/>
      <c r="AD20" s="136"/>
    </row>
    <row r="21" spans="2:30" ht="16.95" customHeight="1" thickBot="1">
      <c r="B21" s="86" t="s">
        <v>61</v>
      </c>
      <c r="C21" s="82" t="str">
        <f>MonthVal&amp;"/"</f>
        <v>11/</v>
      </c>
      <c r="D21" s="80" t="s">
        <v>6</v>
      </c>
      <c r="E21" s="123"/>
      <c r="F21" s="123"/>
      <c r="G21" s="123"/>
      <c r="I21" s="102"/>
      <c r="J21" s="106">
        <f>R2</f>
        <v>1500</v>
      </c>
      <c r="L21" s="84" t="str">
        <f t="shared" si="1"/>
        <v/>
      </c>
      <c r="M21" s="29">
        <f t="shared" si="2"/>
        <v>43056</v>
      </c>
      <c r="N21" s="47" t="str">
        <f t="shared" si="3"/>
        <v>+$50</v>
      </c>
      <c r="O21" s="45" t="s">
        <v>6</v>
      </c>
      <c r="P21" s="45"/>
      <c r="Q21" s="45"/>
      <c r="R21" s="40">
        <f t="shared" si="4"/>
        <v>872.95</v>
      </c>
      <c r="T21" s="26"/>
      <c r="U21" s="26"/>
      <c r="V21" s="105"/>
      <c r="X21" s="27"/>
      <c r="AB21" s="136">
        <v>17</v>
      </c>
      <c r="AC21" s="136"/>
      <c r="AD21" s="136"/>
    </row>
    <row r="22" spans="2:30" ht="16.95" customHeight="1">
      <c r="B22" s="86" t="s">
        <v>74</v>
      </c>
      <c r="C22" s="82" t="str">
        <f>MonthVal&amp;"/"</f>
        <v>11/</v>
      </c>
      <c r="D22" s="80" t="s">
        <v>57</v>
      </c>
      <c r="E22" s="123"/>
      <c r="F22" s="123"/>
      <c r="G22" s="123"/>
      <c r="K22" s="5"/>
      <c r="L22" s="84" t="str">
        <f t="shared" si="1"/>
        <v/>
      </c>
      <c r="M22" s="29">
        <f t="shared" si="2"/>
        <v>43057</v>
      </c>
      <c r="N22" s="47" t="str">
        <f t="shared" si="3"/>
        <v>+$50</v>
      </c>
      <c r="O22" s="46">
        <f>5.1</f>
        <v>5.0999999999999996</v>
      </c>
      <c r="P22" s="46"/>
      <c r="Q22" s="46"/>
      <c r="R22" s="40">
        <f t="shared" si="4"/>
        <v>867.85</v>
      </c>
      <c r="AB22" s="136">
        <v>18</v>
      </c>
      <c r="AC22" s="136">
        <v>5.0999999999999996</v>
      </c>
      <c r="AD22" s="136" t="s">
        <v>108</v>
      </c>
    </row>
    <row r="23" spans="2:30" ht="16.95" customHeight="1">
      <c r="B23" s="86" t="s">
        <v>75</v>
      </c>
      <c r="C23" s="82" t="str">
        <f>MonthVal&amp;"/"</f>
        <v>11/</v>
      </c>
      <c r="D23" s="80" t="s">
        <v>57</v>
      </c>
      <c r="E23" s="123"/>
      <c r="F23" s="123"/>
      <c r="G23" s="123"/>
      <c r="K23" s="10"/>
      <c r="L23" s="84" t="str">
        <f t="shared" si="1"/>
        <v/>
      </c>
      <c r="M23" s="29">
        <f t="shared" si="2"/>
        <v>43058</v>
      </c>
      <c r="N23" s="47" t="str">
        <f t="shared" si="3"/>
        <v>+$50</v>
      </c>
      <c r="O23" s="45" t="s">
        <v>6</v>
      </c>
      <c r="P23" s="45"/>
      <c r="Q23" s="45"/>
      <c r="R23" s="40">
        <f t="shared" si="4"/>
        <v>817.85</v>
      </c>
      <c r="AB23" s="136">
        <v>19</v>
      </c>
      <c r="AC23" s="136"/>
      <c r="AD23" s="136"/>
    </row>
    <row r="24" spans="2:30" ht="16.95" customHeight="1">
      <c r="B24" s="59"/>
      <c r="C24" s="59"/>
      <c r="E24" s="6"/>
      <c r="L24" s="84" t="str">
        <f t="shared" si="1"/>
        <v/>
      </c>
      <c r="M24" s="29">
        <f t="shared" si="2"/>
        <v>43059</v>
      </c>
      <c r="N24" s="47" t="str">
        <f t="shared" si="3"/>
        <v>+$50</v>
      </c>
      <c r="O24" s="46" t="s">
        <v>6</v>
      </c>
      <c r="P24" s="46"/>
      <c r="Q24" s="46"/>
      <c r="R24" s="40">
        <f t="shared" si="4"/>
        <v>767.85</v>
      </c>
      <c r="AB24" s="136">
        <v>20</v>
      </c>
      <c r="AC24" s="136"/>
      <c r="AD24" s="136"/>
    </row>
    <row r="25" spans="2:30" ht="16.95" customHeight="1">
      <c r="B25" s="59"/>
      <c r="D25" s="2"/>
      <c r="F25" s="25"/>
      <c r="G25" s="3"/>
      <c r="L25" s="84" t="str">
        <f t="shared" si="1"/>
        <v/>
      </c>
      <c r="M25" s="29">
        <f t="shared" si="2"/>
        <v>43060</v>
      </c>
      <c r="N25" s="47" t="str">
        <f t="shared" si="3"/>
        <v>+$50</v>
      </c>
      <c r="O25" s="45" t="s">
        <v>6</v>
      </c>
      <c r="P25" s="45"/>
      <c r="Q25" s="45"/>
      <c r="R25" s="40">
        <f t="shared" si="4"/>
        <v>717.85</v>
      </c>
      <c r="AB25" s="136">
        <v>21</v>
      </c>
      <c r="AC25" s="136"/>
      <c r="AD25" s="136"/>
    </row>
    <row r="26" spans="2:30" ht="16.95" customHeight="1">
      <c r="L26" s="84" t="str">
        <f t="shared" si="1"/>
        <v/>
      </c>
      <c r="M26" s="29">
        <f t="shared" si="2"/>
        <v>43061</v>
      </c>
      <c r="N26" s="47" t="str">
        <f t="shared" si="3"/>
        <v>+$50</v>
      </c>
      <c r="O26" s="46" t="s">
        <v>6</v>
      </c>
      <c r="P26" s="46"/>
      <c r="Q26" s="46"/>
      <c r="R26" s="40">
        <f t="shared" si="4"/>
        <v>667.85</v>
      </c>
      <c r="AB26" s="136">
        <v>22</v>
      </c>
      <c r="AC26" s="136"/>
      <c r="AD26" s="136"/>
    </row>
    <row r="27" spans="2:30" ht="16.95" customHeight="1">
      <c r="L27" s="84" t="str">
        <f t="shared" si="1"/>
        <v/>
      </c>
      <c r="M27" s="29">
        <f t="shared" si="2"/>
        <v>43062</v>
      </c>
      <c r="N27" s="47" t="str">
        <f t="shared" si="3"/>
        <v>+$50</v>
      </c>
      <c r="O27" s="45" t="s">
        <v>6</v>
      </c>
      <c r="P27" s="45"/>
      <c r="Q27" s="45"/>
      <c r="R27" s="40">
        <f t="shared" si="4"/>
        <v>617.85</v>
      </c>
      <c r="AB27" s="136">
        <v>23</v>
      </c>
      <c r="AC27" s="136"/>
      <c r="AD27" s="136"/>
    </row>
    <row r="28" spans="2:30" ht="16.95" customHeight="1">
      <c r="L28" s="84" t="str">
        <f t="shared" si="1"/>
        <v/>
      </c>
      <c r="M28" s="29">
        <f t="shared" si="2"/>
        <v>43063</v>
      </c>
      <c r="N28" s="47" t="str">
        <f t="shared" si="3"/>
        <v>+$50</v>
      </c>
      <c r="O28" s="46" t="s">
        <v>6</v>
      </c>
      <c r="P28" s="46"/>
      <c r="Q28" s="46"/>
      <c r="R28" s="40">
        <f t="shared" si="4"/>
        <v>567.85</v>
      </c>
      <c r="AB28" s="136">
        <v>24</v>
      </c>
      <c r="AC28" s="136"/>
      <c r="AD28" s="136"/>
    </row>
    <row r="29" spans="2:30" ht="16.95" customHeight="1">
      <c r="K29" s="10"/>
      <c r="L29" s="84" t="str">
        <f t="shared" si="1"/>
        <v>★</v>
      </c>
      <c r="M29" s="29">
        <f t="shared" si="2"/>
        <v>43064</v>
      </c>
      <c r="N29" s="47" t="str">
        <f t="shared" si="3"/>
        <v>+$50</v>
      </c>
      <c r="O29" s="45" t="s">
        <v>6</v>
      </c>
      <c r="P29" s="45"/>
      <c r="Q29" s="45"/>
      <c r="R29" s="40">
        <f t="shared" si="4"/>
        <v>517.85</v>
      </c>
      <c r="AB29" s="136">
        <v>25</v>
      </c>
      <c r="AC29" s="136"/>
      <c r="AD29" s="136"/>
    </row>
    <row r="30" spans="2:30" ht="16.95" customHeight="1">
      <c r="L30" s="84" t="str">
        <f t="shared" si="1"/>
        <v/>
      </c>
      <c r="M30" s="29">
        <f t="shared" si="2"/>
        <v>43065</v>
      </c>
      <c r="N30" s="47" t="str">
        <f t="shared" si="3"/>
        <v>+$50</v>
      </c>
      <c r="O30" s="46" t="s">
        <v>6</v>
      </c>
      <c r="P30" s="46"/>
      <c r="Q30" s="46"/>
      <c r="R30" s="40">
        <f t="shared" si="4"/>
        <v>467.85</v>
      </c>
      <c r="AB30" s="136">
        <v>26</v>
      </c>
      <c r="AC30" s="136"/>
      <c r="AD30" s="136"/>
    </row>
    <row r="31" spans="2:30" ht="16.95" customHeight="1">
      <c r="L31" s="84" t="str">
        <f t="shared" si="1"/>
        <v>★</v>
      </c>
      <c r="M31" s="29">
        <f t="shared" si="2"/>
        <v>43066</v>
      </c>
      <c r="N31" s="47" t="str">
        <f t="shared" si="3"/>
        <v>+$50</v>
      </c>
      <c r="O31" s="45" t="s">
        <v>6</v>
      </c>
      <c r="P31" s="45"/>
      <c r="Q31" s="45"/>
      <c r="R31" s="40">
        <f t="shared" si="4"/>
        <v>417.85</v>
      </c>
      <c r="AB31" s="136">
        <v>27</v>
      </c>
      <c r="AC31" s="136"/>
      <c r="AD31" s="136"/>
    </row>
    <row r="32" spans="2:30" ht="16.95" customHeight="1">
      <c r="L32" s="84" t="str">
        <f t="shared" si="1"/>
        <v/>
      </c>
      <c r="M32" s="29">
        <f t="shared" si="2"/>
        <v>43067</v>
      </c>
      <c r="N32" s="47" t="str">
        <f t="shared" si="3"/>
        <v>+$50</v>
      </c>
      <c r="O32" s="46" t="s">
        <v>6</v>
      </c>
      <c r="P32" s="46"/>
      <c r="Q32" s="46"/>
      <c r="R32" s="40">
        <f t="shared" si="4"/>
        <v>367.85</v>
      </c>
      <c r="AB32" s="136">
        <v>28</v>
      </c>
      <c r="AC32" s="136"/>
      <c r="AD32" s="136"/>
    </row>
    <row r="33" spans="8:30" ht="16.95" customHeight="1">
      <c r="L33" s="84" t="str">
        <f t="shared" si="1"/>
        <v/>
      </c>
      <c r="M33" s="29">
        <f t="shared" si="2"/>
        <v>43068</v>
      </c>
      <c r="N33" s="47" t="str">
        <f t="shared" si="3"/>
        <v>+$50</v>
      </c>
      <c r="O33" s="45" t="s">
        <v>6</v>
      </c>
      <c r="P33" s="45"/>
      <c r="Q33" s="45"/>
      <c r="R33" s="40">
        <f t="shared" si="4"/>
        <v>317.85000000000002</v>
      </c>
      <c r="AB33" s="136">
        <v>29</v>
      </c>
      <c r="AC33" s="136"/>
      <c r="AD33" s="136"/>
    </row>
    <row r="34" spans="8:30" ht="16.95" customHeight="1">
      <c r="L34" s="84" t="str">
        <f t="shared" si="1"/>
        <v/>
      </c>
      <c r="M34" s="29">
        <f t="shared" si="2"/>
        <v>43069</v>
      </c>
      <c r="N34" s="47" t="str">
        <f t="shared" si="3"/>
        <v>+$50</v>
      </c>
      <c r="O34" s="46" t="s">
        <v>6</v>
      </c>
      <c r="P34" s="46"/>
      <c r="Q34" s="46"/>
      <c r="R34" s="40">
        <f t="shared" si="4"/>
        <v>267.85000000000002</v>
      </c>
      <c r="S34" s="1"/>
      <c r="AB34" s="136">
        <v>30</v>
      </c>
      <c r="AC34" s="136"/>
      <c r="AD34" s="136"/>
    </row>
    <row r="35" spans="8:30" ht="16.95" customHeight="1" thickBot="1">
      <c r="L35" s="84" t="str">
        <f t="shared" si="1"/>
        <v/>
      </c>
      <c r="M35" s="29" t="str">
        <f t="shared" si="2"/>
        <v/>
      </c>
      <c r="N35" s="47" t="str">
        <f t="shared" si="3"/>
        <v/>
      </c>
      <c r="O35" s="45" t="s">
        <v>6</v>
      </c>
      <c r="P35" s="45"/>
      <c r="Q35" s="45"/>
      <c r="R35" s="40" t="str">
        <f t="shared" si="4"/>
        <v/>
      </c>
      <c r="AB35" s="136">
        <v>31</v>
      </c>
      <c r="AC35" s="136"/>
      <c r="AD35" s="136"/>
    </row>
    <row r="36" spans="8:30" ht="22.2" customHeight="1" thickTop="1">
      <c r="H36" s="30"/>
      <c r="L36" s="68"/>
      <c r="M36" s="113" t="s">
        <v>63</v>
      </c>
      <c r="N36" s="114"/>
      <c r="O36" s="69">
        <f>SUM(O5:O35)</f>
        <v>32.15</v>
      </c>
      <c r="P36" s="69"/>
      <c r="Q36" s="69"/>
      <c r="R36" s="48"/>
    </row>
    <row r="37" spans="8:30">
      <c r="H37" s="30"/>
      <c r="I37" s="30"/>
      <c r="O37" s="3"/>
      <c r="P37" s="3"/>
      <c r="Q37" s="3"/>
      <c r="R37" s="3"/>
      <c r="S37" s="3"/>
    </row>
    <row r="38" spans="8:30">
      <c r="O38" s="2"/>
      <c r="P38" s="2"/>
      <c r="Q38" s="2"/>
      <c r="R38" s="8"/>
      <c r="S38" s="7"/>
    </row>
  </sheetData>
  <dataConsolidate/>
  <mergeCells count="15">
    <mergeCell ref="E22:G22"/>
    <mergeCell ref="E23:G23"/>
    <mergeCell ref="M36:N36"/>
    <mergeCell ref="I17:J17"/>
    <mergeCell ref="C18:D18"/>
    <mergeCell ref="E18:G18"/>
    <mergeCell ref="E19:G19"/>
    <mergeCell ref="E20:G20"/>
    <mergeCell ref="E21:G21"/>
    <mergeCell ref="C1:E1"/>
    <mergeCell ref="T2:U3"/>
    <mergeCell ref="I3:J3"/>
    <mergeCell ref="T4:U4"/>
    <mergeCell ref="I10:J10"/>
    <mergeCell ref="I14:J14"/>
  </mergeCells>
  <phoneticPr fontId="14" type="noConversion"/>
  <conditionalFormatting sqref="B4:B14">
    <cfRule type="expression" dxfId="5" priority="4">
      <formula>INDIRECT(ADDRESS(ROW(),COLUMN()))="Ma"</formula>
    </cfRule>
  </conditionalFormatting>
  <conditionalFormatting sqref="E4:E14">
    <cfRule type="expression" dxfId="4" priority="5">
      <formula>OFFSET(E4,0,-3)="Ma"</formula>
    </cfRule>
    <cfRule type="expression" dxfId="3" priority="7">
      <formula>OFFSET(E4,0,-3)="Au"</formula>
    </cfRule>
  </conditionalFormatting>
  <conditionalFormatting sqref="M5:M35">
    <cfRule type="expression" dxfId="2" priority="3">
      <formula>M5=TODAY()</formula>
    </cfRule>
  </conditionalFormatting>
  <conditionalFormatting sqref="N5:N35">
    <cfRule type="expression" dxfId="1" priority="1">
      <formula>OFFSET(N5,0,-1)&gt;TODAY()</formula>
    </cfRule>
    <cfRule type="expression" dxfId="0" priority="2">
      <formula>OFFSET(N5,0,-1)=TODAY()</formula>
    </cfRule>
  </conditionalFormatting>
  <dataValidations count="6">
    <dataValidation allowBlank="1" showErrorMessage="1" promptTitle="ExpenseType" prompt="Au = &quot;Automatic&quot;. Ma =&quot;Manual&quot;. Select &quot;Au&quot; if this expense goes out automatically, &quot;Ma&quot; if you initate payment monthly yourself." sqref="C4:C14"/>
    <dataValidation allowBlank="1" showInputMessage="1" showErrorMessage="1" promptTitle="incomeAmt" prompt="How loaded you are in a numerical representation." sqref="J4"/>
    <dataValidation allowBlank="1" showInputMessage="1" showErrorMessage="1" promptTitle="AddedAmt" prompt="Whatever money that has been carried over to this month. It could be the remaining from last month, or any extra money that you want to add to the starting pool." sqref="J15"/>
    <dataValidation allowBlank="1" showInputMessage="1" showErrorMessage="1" promptTitle="BufferModel" prompt="Desired/goal size of daily money buffer. This value is used only if &quot;Actually Reserved&quot; is *. Use this see how much money is reservable at beginning of month." sqref="N2"/>
    <dataValidation type="whole" allowBlank="1" showInputMessage="1" showErrorMessage="1" promptTitle="YearVal" prompt="Enter the year you currently exist as a mortal" sqref="H1">
      <formula1>1000</formula1>
      <formula2>3000</formula2>
    </dataValidation>
    <dataValidation allowBlank="1" showInputMessage="1" showErrorMessage="1" promptTitle="ReserveAmt" prompt="Enter amount to reserve at the BEGINNING of this month. Enter asterisk ('*') to see the sheet with assumption you reserve all amount shown in &quot;Reservable&quot;." sqref="J1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Option Button 1">
              <controlPr defaultSize="0" autoFill="0" autoLine="0" autoPict="0" macro="[0]!OpBtn_Click">
                <anchor moveWithCells="1">
                  <from>
                    <xdr:col>16</xdr:col>
                    <xdr:colOff>15240</xdr:colOff>
                    <xdr:row>4</xdr:row>
                    <xdr:rowOff>0</xdr:rowOff>
                  </from>
                  <to>
                    <xdr:col>17</xdr:col>
                    <xdr:colOff>114300</xdr:colOff>
                    <xdr:row>5</xdr:row>
                    <xdr:rowOff>53340</xdr:rowOff>
                  </to>
                </anchor>
              </controlPr>
            </control>
          </mc:Choice>
        </mc:AlternateContent>
        <mc:AlternateContent xmlns:mc="http://schemas.openxmlformats.org/markup-compatibility/2006">
          <mc:Choice Requires="x14">
            <control shapeId="180226" r:id="rId5" name="SubmitButton">
              <controlPr defaultSize="0" autoFill="0" autoPict="0" macro="[0]!SubmitButton_click">
                <anchor moveWithCells="1" sizeWithCells="1">
                  <from>
                    <xdr:col>19</xdr:col>
                    <xdr:colOff>121920</xdr:colOff>
                    <xdr:row>17</xdr:row>
                    <xdr:rowOff>83820</xdr:rowOff>
                  </from>
                  <to>
                    <xdr:col>20</xdr:col>
                    <xdr:colOff>594360</xdr:colOff>
                    <xdr:row>19</xdr:row>
                    <xdr:rowOff>76200</xdr:rowOff>
                  </to>
                </anchor>
              </controlPr>
            </control>
          </mc:Choice>
        </mc:AlternateContent>
        <mc:AlternateContent xmlns:mc="http://schemas.openxmlformats.org/markup-compatibility/2006">
          <mc:Choice Requires="x14">
            <control shapeId="180227" r:id="rId6" name="Option Button 2">
              <controlPr defaultSize="0" autoFill="0" autoLine="0" autoPict="0" macro="[0]!OpBtn_Click">
                <anchor moveWithCells="1">
                  <from>
                    <xdr:col>16</xdr:col>
                    <xdr:colOff>15240</xdr:colOff>
                    <xdr:row>4</xdr:row>
                    <xdr:rowOff>205740</xdr:rowOff>
                  </from>
                  <to>
                    <xdr:col>17</xdr:col>
                    <xdr:colOff>114300</xdr:colOff>
                    <xdr:row>6</xdr:row>
                    <xdr:rowOff>38100</xdr:rowOff>
                  </to>
                </anchor>
              </controlPr>
            </control>
          </mc:Choice>
        </mc:AlternateContent>
        <mc:AlternateContent xmlns:mc="http://schemas.openxmlformats.org/markup-compatibility/2006">
          <mc:Choice Requires="x14">
            <control shapeId="180228" r:id="rId7" name="Option Button 3">
              <controlPr defaultSize="0" autoFill="0" autoLine="0" autoPict="0" macro="[0]!OpBtn_Click">
                <anchor moveWithCells="1">
                  <from>
                    <xdr:col>16</xdr:col>
                    <xdr:colOff>7620</xdr:colOff>
                    <xdr:row>6</xdr:row>
                    <xdr:rowOff>7620</xdr:rowOff>
                  </from>
                  <to>
                    <xdr:col>17</xdr:col>
                    <xdr:colOff>106680</xdr:colOff>
                    <xdr:row>7</xdr:row>
                    <xdr:rowOff>53340</xdr:rowOff>
                  </to>
                </anchor>
              </controlPr>
            </control>
          </mc:Choice>
        </mc:AlternateContent>
        <mc:AlternateContent xmlns:mc="http://schemas.openxmlformats.org/markup-compatibility/2006">
          <mc:Choice Requires="x14">
            <control shapeId="180229" r:id="rId8" name="Option Button 4">
              <controlPr defaultSize="0" autoFill="0" autoLine="0" autoPict="0" macro="[0]!OpBtn_Click">
                <anchor moveWithCells="1">
                  <from>
                    <xdr:col>16</xdr:col>
                    <xdr:colOff>15240</xdr:colOff>
                    <xdr:row>7</xdr:row>
                    <xdr:rowOff>0</xdr:rowOff>
                  </from>
                  <to>
                    <xdr:col>17</xdr:col>
                    <xdr:colOff>114300</xdr:colOff>
                    <xdr:row>8</xdr:row>
                    <xdr:rowOff>53340</xdr:rowOff>
                  </to>
                </anchor>
              </controlPr>
            </control>
          </mc:Choice>
        </mc:AlternateContent>
        <mc:AlternateContent xmlns:mc="http://schemas.openxmlformats.org/markup-compatibility/2006">
          <mc:Choice Requires="x14">
            <control shapeId="180230" r:id="rId9" name="Option Button 5">
              <controlPr defaultSize="0" autoFill="0" autoLine="0" autoPict="0" macro="[0]!OpBtn_Click">
                <anchor moveWithCells="1">
                  <from>
                    <xdr:col>16</xdr:col>
                    <xdr:colOff>15240</xdr:colOff>
                    <xdr:row>8</xdr:row>
                    <xdr:rowOff>0</xdr:rowOff>
                  </from>
                  <to>
                    <xdr:col>17</xdr:col>
                    <xdr:colOff>114300</xdr:colOff>
                    <xdr:row>9</xdr:row>
                    <xdr:rowOff>53340</xdr:rowOff>
                  </to>
                </anchor>
              </controlPr>
            </control>
          </mc:Choice>
        </mc:AlternateContent>
        <mc:AlternateContent xmlns:mc="http://schemas.openxmlformats.org/markup-compatibility/2006">
          <mc:Choice Requires="x14">
            <control shapeId="180231" r:id="rId10" name="Option Button 6">
              <controlPr defaultSize="0" autoFill="0" autoLine="0" autoPict="0" macro="[0]!OpBtn_Click">
                <anchor moveWithCells="1">
                  <from>
                    <xdr:col>16</xdr:col>
                    <xdr:colOff>15240</xdr:colOff>
                    <xdr:row>9</xdr:row>
                    <xdr:rowOff>0</xdr:rowOff>
                  </from>
                  <to>
                    <xdr:col>17</xdr:col>
                    <xdr:colOff>114300</xdr:colOff>
                    <xdr:row>10</xdr:row>
                    <xdr:rowOff>53340</xdr:rowOff>
                  </to>
                </anchor>
              </controlPr>
            </control>
          </mc:Choice>
        </mc:AlternateContent>
        <mc:AlternateContent xmlns:mc="http://schemas.openxmlformats.org/markup-compatibility/2006">
          <mc:Choice Requires="x14">
            <control shapeId="180232" r:id="rId11" name="Option Button 7">
              <controlPr defaultSize="0" autoFill="0" autoLine="0" autoPict="0" macro="[0]!OpBtn_Click">
                <anchor moveWithCells="1">
                  <from>
                    <xdr:col>16</xdr:col>
                    <xdr:colOff>15240</xdr:colOff>
                    <xdr:row>10</xdr:row>
                    <xdr:rowOff>0</xdr:rowOff>
                  </from>
                  <to>
                    <xdr:col>17</xdr:col>
                    <xdr:colOff>114300</xdr:colOff>
                    <xdr:row>11</xdr:row>
                    <xdr:rowOff>53340</xdr:rowOff>
                  </to>
                </anchor>
              </controlPr>
            </control>
          </mc:Choice>
        </mc:AlternateContent>
        <mc:AlternateContent xmlns:mc="http://schemas.openxmlformats.org/markup-compatibility/2006">
          <mc:Choice Requires="x14">
            <control shapeId="180233" r:id="rId12" name="Option Button 8">
              <controlPr defaultSize="0" autoFill="0" autoLine="0" autoPict="0" macro="[0]!OpBtn_Click">
                <anchor moveWithCells="1">
                  <from>
                    <xdr:col>16</xdr:col>
                    <xdr:colOff>15240</xdr:colOff>
                    <xdr:row>11</xdr:row>
                    <xdr:rowOff>0</xdr:rowOff>
                  </from>
                  <to>
                    <xdr:col>17</xdr:col>
                    <xdr:colOff>114300</xdr:colOff>
                    <xdr:row>12</xdr:row>
                    <xdr:rowOff>53340</xdr:rowOff>
                  </to>
                </anchor>
              </controlPr>
            </control>
          </mc:Choice>
        </mc:AlternateContent>
        <mc:AlternateContent xmlns:mc="http://schemas.openxmlformats.org/markup-compatibility/2006">
          <mc:Choice Requires="x14">
            <control shapeId="180234" r:id="rId13" name="Option Button 9">
              <controlPr defaultSize="0" autoFill="0" autoLine="0" autoPict="0" macro="[0]!OpBtn_Click">
                <anchor moveWithCells="1">
                  <from>
                    <xdr:col>16</xdr:col>
                    <xdr:colOff>15240</xdr:colOff>
                    <xdr:row>11</xdr:row>
                    <xdr:rowOff>198120</xdr:rowOff>
                  </from>
                  <to>
                    <xdr:col>17</xdr:col>
                    <xdr:colOff>114300</xdr:colOff>
                    <xdr:row>13</xdr:row>
                    <xdr:rowOff>38100</xdr:rowOff>
                  </to>
                </anchor>
              </controlPr>
            </control>
          </mc:Choice>
        </mc:AlternateContent>
        <mc:AlternateContent xmlns:mc="http://schemas.openxmlformats.org/markup-compatibility/2006">
          <mc:Choice Requires="x14">
            <control shapeId="180235" r:id="rId14" name="Option Button 10">
              <controlPr defaultSize="0" autoFill="0" autoLine="0" autoPict="0" macro="[0]!OpBtn_Click">
                <anchor moveWithCells="1">
                  <from>
                    <xdr:col>16</xdr:col>
                    <xdr:colOff>15240</xdr:colOff>
                    <xdr:row>12</xdr:row>
                    <xdr:rowOff>205740</xdr:rowOff>
                  </from>
                  <to>
                    <xdr:col>17</xdr:col>
                    <xdr:colOff>114300</xdr:colOff>
                    <xdr:row>14</xdr:row>
                    <xdr:rowOff>45720</xdr:rowOff>
                  </to>
                </anchor>
              </controlPr>
            </control>
          </mc:Choice>
        </mc:AlternateContent>
        <mc:AlternateContent xmlns:mc="http://schemas.openxmlformats.org/markup-compatibility/2006">
          <mc:Choice Requires="x14">
            <control shapeId="180236" r:id="rId15" name="Option Button 11">
              <controlPr defaultSize="0" autoFill="0" autoLine="0" autoPict="0" macro="[0]!OpBtn_Click">
                <anchor moveWithCells="1">
                  <from>
                    <xdr:col>16</xdr:col>
                    <xdr:colOff>15240</xdr:colOff>
                    <xdr:row>13</xdr:row>
                    <xdr:rowOff>198120</xdr:rowOff>
                  </from>
                  <to>
                    <xdr:col>17</xdr:col>
                    <xdr:colOff>114300</xdr:colOff>
                    <xdr:row>15</xdr:row>
                    <xdr:rowOff>38100</xdr:rowOff>
                  </to>
                </anchor>
              </controlPr>
            </control>
          </mc:Choice>
        </mc:AlternateContent>
        <mc:AlternateContent xmlns:mc="http://schemas.openxmlformats.org/markup-compatibility/2006">
          <mc:Choice Requires="x14">
            <control shapeId="180237" r:id="rId16" name="Option Button 12">
              <controlPr defaultSize="0" autoFill="0" autoLine="0" autoPict="0" macro="[0]!OpBtn_Click">
                <anchor moveWithCells="1">
                  <from>
                    <xdr:col>16</xdr:col>
                    <xdr:colOff>15240</xdr:colOff>
                    <xdr:row>15</xdr:row>
                    <xdr:rowOff>0</xdr:rowOff>
                  </from>
                  <to>
                    <xdr:col>17</xdr:col>
                    <xdr:colOff>114300</xdr:colOff>
                    <xdr:row>16</xdr:row>
                    <xdr:rowOff>53340</xdr:rowOff>
                  </to>
                </anchor>
              </controlPr>
            </control>
          </mc:Choice>
        </mc:AlternateContent>
        <mc:AlternateContent xmlns:mc="http://schemas.openxmlformats.org/markup-compatibility/2006">
          <mc:Choice Requires="x14">
            <control shapeId="180238" r:id="rId17" name="Option Button 13">
              <controlPr defaultSize="0" autoFill="0" autoLine="0" autoPict="0" macro="[0]!OpBtn_Click">
                <anchor moveWithCells="1">
                  <from>
                    <xdr:col>16</xdr:col>
                    <xdr:colOff>15240</xdr:colOff>
                    <xdr:row>15</xdr:row>
                    <xdr:rowOff>198120</xdr:rowOff>
                  </from>
                  <to>
                    <xdr:col>17</xdr:col>
                    <xdr:colOff>114300</xdr:colOff>
                    <xdr:row>17</xdr:row>
                    <xdr:rowOff>38100</xdr:rowOff>
                  </to>
                </anchor>
              </controlPr>
            </control>
          </mc:Choice>
        </mc:AlternateContent>
        <mc:AlternateContent xmlns:mc="http://schemas.openxmlformats.org/markup-compatibility/2006">
          <mc:Choice Requires="x14">
            <control shapeId="180239" r:id="rId18" name="Option Button 14">
              <controlPr defaultSize="0" autoFill="0" autoLine="0" autoPict="0" macro="[0]!OpBtn_Click">
                <anchor moveWithCells="1">
                  <from>
                    <xdr:col>16</xdr:col>
                    <xdr:colOff>15240</xdr:colOff>
                    <xdr:row>17</xdr:row>
                    <xdr:rowOff>0</xdr:rowOff>
                  </from>
                  <to>
                    <xdr:col>17</xdr:col>
                    <xdr:colOff>114300</xdr:colOff>
                    <xdr:row>18</xdr:row>
                    <xdr:rowOff>53340</xdr:rowOff>
                  </to>
                </anchor>
              </controlPr>
            </control>
          </mc:Choice>
        </mc:AlternateContent>
        <mc:AlternateContent xmlns:mc="http://schemas.openxmlformats.org/markup-compatibility/2006">
          <mc:Choice Requires="x14">
            <control shapeId="180240" r:id="rId19" name="Option Button 15">
              <controlPr defaultSize="0" autoFill="0" autoLine="0" autoPict="0" macro="[0]!OpBtn_Click">
                <anchor moveWithCells="1">
                  <from>
                    <xdr:col>16</xdr:col>
                    <xdr:colOff>15240</xdr:colOff>
                    <xdr:row>17</xdr:row>
                    <xdr:rowOff>198120</xdr:rowOff>
                  </from>
                  <to>
                    <xdr:col>17</xdr:col>
                    <xdr:colOff>114300</xdr:colOff>
                    <xdr:row>19</xdr:row>
                    <xdr:rowOff>38100</xdr:rowOff>
                  </to>
                </anchor>
              </controlPr>
            </control>
          </mc:Choice>
        </mc:AlternateContent>
        <mc:AlternateContent xmlns:mc="http://schemas.openxmlformats.org/markup-compatibility/2006">
          <mc:Choice Requires="x14">
            <control shapeId="180241" r:id="rId20" name="Option Button 16">
              <controlPr defaultSize="0" autoFill="0" autoLine="0" autoPict="0" macro="[0]!OpBtn_Click">
                <anchor moveWithCells="1">
                  <from>
                    <xdr:col>16</xdr:col>
                    <xdr:colOff>15240</xdr:colOff>
                    <xdr:row>18</xdr:row>
                    <xdr:rowOff>190500</xdr:rowOff>
                  </from>
                  <to>
                    <xdr:col>17</xdr:col>
                    <xdr:colOff>114300</xdr:colOff>
                    <xdr:row>20</xdr:row>
                    <xdr:rowOff>30480</xdr:rowOff>
                  </to>
                </anchor>
              </controlPr>
            </control>
          </mc:Choice>
        </mc:AlternateContent>
        <mc:AlternateContent xmlns:mc="http://schemas.openxmlformats.org/markup-compatibility/2006">
          <mc:Choice Requires="x14">
            <control shapeId="180242" r:id="rId21" name="Option Button 17">
              <controlPr defaultSize="0" autoFill="0" autoLine="0" autoPict="0" macro="[0]!OpBtn_Click">
                <anchor moveWithCells="1">
                  <from>
                    <xdr:col>16</xdr:col>
                    <xdr:colOff>15240</xdr:colOff>
                    <xdr:row>19</xdr:row>
                    <xdr:rowOff>205740</xdr:rowOff>
                  </from>
                  <to>
                    <xdr:col>17</xdr:col>
                    <xdr:colOff>114300</xdr:colOff>
                    <xdr:row>21</xdr:row>
                    <xdr:rowOff>45720</xdr:rowOff>
                  </to>
                </anchor>
              </controlPr>
            </control>
          </mc:Choice>
        </mc:AlternateContent>
        <mc:AlternateContent xmlns:mc="http://schemas.openxmlformats.org/markup-compatibility/2006">
          <mc:Choice Requires="x14">
            <control shapeId="180243" r:id="rId22" name="Option Button 18">
              <controlPr defaultSize="0" autoFill="0" autoLine="0" autoPict="0" macro="[0]!OpBtn_Click">
                <anchor moveWithCells="1">
                  <from>
                    <xdr:col>16</xdr:col>
                    <xdr:colOff>15240</xdr:colOff>
                    <xdr:row>20</xdr:row>
                    <xdr:rowOff>205740</xdr:rowOff>
                  </from>
                  <to>
                    <xdr:col>17</xdr:col>
                    <xdr:colOff>114300</xdr:colOff>
                    <xdr:row>22</xdr:row>
                    <xdr:rowOff>45720</xdr:rowOff>
                  </to>
                </anchor>
              </controlPr>
            </control>
          </mc:Choice>
        </mc:AlternateContent>
        <mc:AlternateContent xmlns:mc="http://schemas.openxmlformats.org/markup-compatibility/2006">
          <mc:Choice Requires="x14">
            <control shapeId="180244" r:id="rId23" name="Option Button 19">
              <controlPr defaultSize="0" autoFill="0" autoLine="0" autoPict="0" macro="[0]!OpBtn_Click">
                <anchor moveWithCells="1">
                  <from>
                    <xdr:col>16</xdr:col>
                    <xdr:colOff>15240</xdr:colOff>
                    <xdr:row>21</xdr:row>
                    <xdr:rowOff>198120</xdr:rowOff>
                  </from>
                  <to>
                    <xdr:col>17</xdr:col>
                    <xdr:colOff>114300</xdr:colOff>
                    <xdr:row>23</xdr:row>
                    <xdr:rowOff>38100</xdr:rowOff>
                  </to>
                </anchor>
              </controlPr>
            </control>
          </mc:Choice>
        </mc:AlternateContent>
        <mc:AlternateContent xmlns:mc="http://schemas.openxmlformats.org/markup-compatibility/2006">
          <mc:Choice Requires="x14">
            <control shapeId="180245" r:id="rId24" name="Option Button 20">
              <controlPr defaultSize="0" autoFill="0" autoLine="0" autoPict="0" macro="[0]!OpBtn_Click">
                <anchor moveWithCells="1">
                  <from>
                    <xdr:col>16</xdr:col>
                    <xdr:colOff>15240</xdr:colOff>
                    <xdr:row>23</xdr:row>
                    <xdr:rowOff>0</xdr:rowOff>
                  </from>
                  <to>
                    <xdr:col>17</xdr:col>
                    <xdr:colOff>114300</xdr:colOff>
                    <xdr:row>24</xdr:row>
                    <xdr:rowOff>53340</xdr:rowOff>
                  </to>
                </anchor>
              </controlPr>
            </control>
          </mc:Choice>
        </mc:AlternateContent>
        <mc:AlternateContent xmlns:mc="http://schemas.openxmlformats.org/markup-compatibility/2006">
          <mc:Choice Requires="x14">
            <control shapeId="180246" r:id="rId25" name="Option Button 21">
              <controlPr defaultSize="0" autoFill="0" autoLine="0" autoPict="0" macro="[0]!OpBtn_Click">
                <anchor moveWithCells="1">
                  <from>
                    <xdr:col>16</xdr:col>
                    <xdr:colOff>15240</xdr:colOff>
                    <xdr:row>23</xdr:row>
                    <xdr:rowOff>198120</xdr:rowOff>
                  </from>
                  <to>
                    <xdr:col>17</xdr:col>
                    <xdr:colOff>114300</xdr:colOff>
                    <xdr:row>25</xdr:row>
                    <xdr:rowOff>38100</xdr:rowOff>
                  </to>
                </anchor>
              </controlPr>
            </control>
          </mc:Choice>
        </mc:AlternateContent>
        <mc:AlternateContent xmlns:mc="http://schemas.openxmlformats.org/markup-compatibility/2006">
          <mc:Choice Requires="x14">
            <control shapeId="180247" r:id="rId26" name="Option Button 22">
              <controlPr defaultSize="0" autoFill="0" autoLine="0" autoPict="0" macro="[0]!OpBtn_Click">
                <anchor moveWithCells="1">
                  <from>
                    <xdr:col>16</xdr:col>
                    <xdr:colOff>15240</xdr:colOff>
                    <xdr:row>24</xdr:row>
                    <xdr:rowOff>198120</xdr:rowOff>
                  </from>
                  <to>
                    <xdr:col>17</xdr:col>
                    <xdr:colOff>114300</xdr:colOff>
                    <xdr:row>26</xdr:row>
                    <xdr:rowOff>38100</xdr:rowOff>
                  </to>
                </anchor>
              </controlPr>
            </control>
          </mc:Choice>
        </mc:AlternateContent>
        <mc:AlternateContent xmlns:mc="http://schemas.openxmlformats.org/markup-compatibility/2006">
          <mc:Choice Requires="x14">
            <control shapeId="180248" r:id="rId27" name="Option Button 23">
              <controlPr defaultSize="0" autoFill="0" autoLine="0" autoPict="0" macro="[0]!OpBtn_Click">
                <anchor moveWithCells="1">
                  <from>
                    <xdr:col>16</xdr:col>
                    <xdr:colOff>15240</xdr:colOff>
                    <xdr:row>25</xdr:row>
                    <xdr:rowOff>205740</xdr:rowOff>
                  </from>
                  <to>
                    <xdr:col>17</xdr:col>
                    <xdr:colOff>114300</xdr:colOff>
                    <xdr:row>27</xdr:row>
                    <xdr:rowOff>45720</xdr:rowOff>
                  </to>
                </anchor>
              </controlPr>
            </control>
          </mc:Choice>
        </mc:AlternateContent>
        <mc:AlternateContent xmlns:mc="http://schemas.openxmlformats.org/markup-compatibility/2006">
          <mc:Choice Requires="x14">
            <control shapeId="180249" r:id="rId28" name="Option Button 24">
              <controlPr defaultSize="0" autoFill="0" autoLine="0" autoPict="0" macro="[0]!OpBtn_Click">
                <anchor moveWithCells="1">
                  <from>
                    <xdr:col>16</xdr:col>
                    <xdr:colOff>15240</xdr:colOff>
                    <xdr:row>26</xdr:row>
                    <xdr:rowOff>198120</xdr:rowOff>
                  </from>
                  <to>
                    <xdr:col>17</xdr:col>
                    <xdr:colOff>114300</xdr:colOff>
                    <xdr:row>28</xdr:row>
                    <xdr:rowOff>38100</xdr:rowOff>
                  </to>
                </anchor>
              </controlPr>
            </control>
          </mc:Choice>
        </mc:AlternateContent>
        <mc:AlternateContent xmlns:mc="http://schemas.openxmlformats.org/markup-compatibility/2006">
          <mc:Choice Requires="x14">
            <control shapeId="180250" r:id="rId29" name="Option Button 25">
              <controlPr defaultSize="0" autoFill="0" autoLine="0" autoPict="0" macro="[0]!OpBtn_Click">
                <anchor moveWithCells="1">
                  <from>
                    <xdr:col>16</xdr:col>
                    <xdr:colOff>15240</xdr:colOff>
                    <xdr:row>27</xdr:row>
                    <xdr:rowOff>190500</xdr:rowOff>
                  </from>
                  <to>
                    <xdr:col>17</xdr:col>
                    <xdr:colOff>114300</xdr:colOff>
                    <xdr:row>29</xdr:row>
                    <xdr:rowOff>30480</xdr:rowOff>
                  </to>
                </anchor>
              </controlPr>
            </control>
          </mc:Choice>
        </mc:AlternateContent>
        <mc:AlternateContent xmlns:mc="http://schemas.openxmlformats.org/markup-compatibility/2006">
          <mc:Choice Requires="x14">
            <control shapeId="180251" r:id="rId30" name="Option Button 26">
              <controlPr defaultSize="0" autoFill="0" autoLine="0" autoPict="0" macro="[0]!OpBtn_Click">
                <anchor moveWithCells="1">
                  <from>
                    <xdr:col>16</xdr:col>
                    <xdr:colOff>15240</xdr:colOff>
                    <xdr:row>28</xdr:row>
                    <xdr:rowOff>205740</xdr:rowOff>
                  </from>
                  <to>
                    <xdr:col>17</xdr:col>
                    <xdr:colOff>114300</xdr:colOff>
                    <xdr:row>30</xdr:row>
                    <xdr:rowOff>45720</xdr:rowOff>
                  </to>
                </anchor>
              </controlPr>
            </control>
          </mc:Choice>
        </mc:AlternateContent>
        <mc:AlternateContent xmlns:mc="http://schemas.openxmlformats.org/markup-compatibility/2006">
          <mc:Choice Requires="x14">
            <control shapeId="180252" r:id="rId31" name="Option Button 27">
              <controlPr defaultSize="0" autoFill="0" autoLine="0" autoPict="0" macro="[0]!OpBtn_Click">
                <anchor moveWithCells="1">
                  <from>
                    <xdr:col>16</xdr:col>
                    <xdr:colOff>15240</xdr:colOff>
                    <xdr:row>29</xdr:row>
                    <xdr:rowOff>205740</xdr:rowOff>
                  </from>
                  <to>
                    <xdr:col>17</xdr:col>
                    <xdr:colOff>114300</xdr:colOff>
                    <xdr:row>31</xdr:row>
                    <xdr:rowOff>45720</xdr:rowOff>
                  </to>
                </anchor>
              </controlPr>
            </control>
          </mc:Choice>
        </mc:AlternateContent>
        <mc:AlternateContent xmlns:mc="http://schemas.openxmlformats.org/markup-compatibility/2006">
          <mc:Choice Requires="x14">
            <control shapeId="180253" r:id="rId32" name="Option Button 28">
              <controlPr defaultSize="0" autoFill="0" autoLine="0" autoPict="0" macro="[0]!OpBtn_Click">
                <anchor moveWithCells="1">
                  <from>
                    <xdr:col>16</xdr:col>
                    <xdr:colOff>15240</xdr:colOff>
                    <xdr:row>30</xdr:row>
                    <xdr:rowOff>198120</xdr:rowOff>
                  </from>
                  <to>
                    <xdr:col>17</xdr:col>
                    <xdr:colOff>114300</xdr:colOff>
                    <xdr:row>32</xdr:row>
                    <xdr:rowOff>38100</xdr:rowOff>
                  </to>
                </anchor>
              </controlPr>
            </control>
          </mc:Choice>
        </mc:AlternateContent>
        <mc:AlternateContent xmlns:mc="http://schemas.openxmlformats.org/markup-compatibility/2006">
          <mc:Choice Requires="x14">
            <control shapeId="180254" r:id="rId33" name="Option Button 29">
              <controlPr defaultSize="0" autoFill="0" autoLine="0" autoPict="0" macro="[0]!OpBtn_Click">
                <anchor moveWithCells="1">
                  <from>
                    <xdr:col>16</xdr:col>
                    <xdr:colOff>15240</xdr:colOff>
                    <xdr:row>31</xdr:row>
                    <xdr:rowOff>190500</xdr:rowOff>
                  </from>
                  <to>
                    <xdr:col>17</xdr:col>
                    <xdr:colOff>114300</xdr:colOff>
                    <xdr:row>33</xdr:row>
                    <xdr:rowOff>30480</xdr:rowOff>
                  </to>
                </anchor>
              </controlPr>
            </control>
          </mc:Choice>
        </mc:AlternateContent>
        <mc:AlternateContent xmlns:mc="http://schemas.openxmlformats.org/markup-compatibility/2006">
          <mc:Choice Requires="x14">
            <control shapeId="180255" r:id="rId34" name="Option Button 30">
              <controlPr defaultSize="0" autoFill="0" autoLine="0" autoPict="0" macro="[0]!OpBtn_Click">
                <anchor moveWithCells="1">
                  <from>
                    <xdr:col>16</xdr:col>
                    <xdr:colOff>15240</xdr:colOff>
                    <xdr:row>32</xdr:row>
                    <xdr:rowOff>190500</xdr:rowOff>
                  </from>
                  <to>
                    <xdr:col>17</xdr:col>
                    <xdr:colOff>114300</xdr:colOff>
                    <xdr:row>34</xdr:row>
                    <xdr:rowOff>30480</xdr:rowOff>
                  </to>
                </anchor>
              </controlPr>
            </control>
          </mc:Choice>
        </mc:AlternateContent>
        <mc:AlternateContent xmlns:mc="http://schemas.openxmlformats.org/markup-compatibility/2006">
          <mc:Choice Requires="x14">
            <control shapeId="180256" r:id="rId35" name="Option Button 31">
              <controlPr defaultSize="0" autoFill="0" autoLine="0" autoPict="0" macro="[0]!OpBtn_Click">
                <anchor moveWithCells="1">
                  <from>
                    <xdr:col>16</xdr:col>
                    <xdr:colOff>15240</xdr:colOff>
                    <xdr:row>33</xdr:row>
                    <xdr:rowOff>190500</xdr:rowOff>
                  </from>
                  <to>
                    <xdr:col>17</xdr:col>
                    <xdr:colOff>114300</xdr:colOff>
                    <xdr:row>35</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6" id="{4387ECC0-7FD8-4052-8FB8-AF5C8EDC3BE1}">
            <x14:iconSet iconSet="3Symbols2" showValue="0" custom="1">
              <x14:cfvo type="percent">
                <xm:f>0</xm:f>
              </x14:cfvo>
              <x14:cfvo type="num">
                <xm:f>0</xm:f>
              </x14:cfvo>
              <x14:cfvo type="num">
                <xm:f>1</xm:f>
              </x14:cfvo>
              <x14:cfIcon iconSet="3Signs" iconId="1"/>
              <x14:cfIcon iconSet="4RedToBlack" iconId="1"/>
              <x14:cfIcon iconSet="3Symbols" iconId="2"/>
            </x14:iconSet>
          </x14:cfRule>
          <xm:sqref>G4:G14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_controls!$F$21:$F$38</xm:f>
          </x14:formula1>
          <xm:sqref>P5:P35</xm:sqref>
        </x14:dataValidation>
        <x14:dataValidation type="list" allowBlank="1" showInputMessage="1" showErrorMessage="1">
          <x14:formula1>
            <xm:f>_controls!$E$21:$E$23</xm:f>
          </x14:formula1>
          <xm:sqref>G4:G14</xm:sqref>
        </x14:dataValidation>
        <x14:dataValidation type="list" allowBlank="1" showErrorMessage="1" promptTitle="ExpenseType" prompt="Au = &quot;Automatic&quot;. Ma =&quot;Manual&quot;. Select &quot;Au&quot; if this expense goes out automatically, &quot;Ma&quot; if you initate payment monthly yourself.">
          <x14:formula1>
            <xm:f>_controls!$D$21:$D$22</xm:f>
          </x14:formula1>
          <xm:sqref>B4:B14</xm:sqref>
        </x14:dataValidation>
        <x14:dataValidation type="list" allowBlank="1" showInputMessage="1" showErrorMessage="1" promptTitle="MonthVal" prompt="Select the month that represents this sheet">
          <x14:formula1>
            <xm:f>_controls!$B$21:$B$32</xm:f>
          </x14:formula1>
          <xm:sqref>F1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2:F8"/>
  <sheetViews>
    <sheetView workbookViewId="0">
      <selection activeCell="A24" sqref="A24"/>
    </sheetView>
  </sheetViews>
  <sheetFormatPr defaultColWidth="8.796875" defaultRowHeight="17.399999999999999"/>
  <cols>
    <col min="2" max="2" width="12.296875" customWidth="1"/>
    <col min="3" max="3" width="26" customWidth="1"/>
    <col min="4" max="4" width="8.796875" style="1"/>
  </cols>
  <sheetData>
    <row r="2" spans="2:6" s="16" customFormat="1" ht="25.2">
      <c r="B2" s="18" t="s">
        <v>12</v>
      </c>
      <c r="D2" s="17"/>
    </row>
    <row r="3" spans="2:6">
      <c r="E3" s="1"/>
    </row>
    <row r="4" spans="2:6">
      <c r="B4" s="21" t="s">
        <v>11</v>
      </c>
      <c r="C4" t="s">
        <v>7</v>
      </c>
      <c r="D4" s="13">
        <v>100</v>
      </c>
    </row>
    <row r="5" spans="2:6">
      <c r="B5" s="22" t="s">
        <v>15</v>
      </c>
      <c r="C5" s="19" t="s">
        <v>8</v>
      </c>
      <c r="D5" s="20">
        <v>22</v>
      </c>
    </row>
    <row r="6" spans="2:6">
      <c r="B6" s="23" t="s">
        <v>16</v>
      </c>
      <c r="C6" t="s">
        <v>9</v>
      </c>
      <c r="D6" s="13">
        <v>35</v>
      </c>
      <c r="F6" s="1"/>
    </row>
    <row r="7" spans="2:6">
      <c r="B7" s="9" t="s">
        <v>10</v>
      </c>
      <c r="C7" t="s">
        <v>13</v>
      </c>
      <c r="D7" s="1" t="s">
        <v>10</v>
      </c>
    </row>
    <row r="8" spans="2:6">
      <c r="B8" s="21" t="s">
        <v>17</v>
      </c>
      <c r="C8" t="s">
        <v>14</v>
      </c>
      <c r="D8" s="24">
        <v>45</v>
      </c>
    </row>
  </sheetData>
  <phoneticPr fontId="14" type="noConversion"/>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28</vt:i4>
      </vt:variant>
    </vt:vector>
  </HeadingPairs>
  <TitlesOfParts>
    <vt:vector size="33" baseType="lpstr">
      <vt:lpstr>Intro</vt:lpstr>
      <vt:lpstr>_controls</vt:lpstr>
      <vt:lpstr>Base</vt:lpstr>
      <vt:lpstr>Untitled Sheet</vt:lpstr>
      <vt:lpstr>Annual</vt:lpstr>
      <vt:lpstr>'Untitled Sheet'!BufferModel</vt:lpstr>
      <vt:lpstr>BufferModel</vt:lpstr>
      <vt:lpstr>'Untitled Sheet'!CurrSelectedDay</vt:lpstr>
      <vt:lpstr>CurrSelectedDay</vt:lpstr>
      <vt:lpstr>'Untitled Sheet'!DailyExpDate</vt:lpstr>
      <vt:lpstr>DailyExpDate</vt:lpstr>
      <vt:lpstr>'Untitled Sheet'!DailyExpHeader</vt:lpstr>
      <vt:lpstr>DailyExpHeader</vt:lpstr>
      <vt:lpstr>'Untitled Sheet'!data1Header</vt:lpstr>
      <vt:lpstr>data1Header</vt:lpstr>
      <vt:lpstr>'Untitled Sheet'!data2Header</vt:lpstr>
      <vt:lpstr>data2Header</vt:lpstr>
      <vt:lpstr>'Untitled Sheet'!DateHeader</vt:lpstr>
      <vt:lpstr>DateHeader</vt:lpstr>
      <vt:lpstr>'Untitled Sheet'!DayChartHeader</vt:lpstr>
      <vt:lpstr>DayChartHeader</vt:lpstr>
      <vt:lpstr>'Untitled Sheet'!MoneyBuffer</vt:lpstr>
      <vt:lpstr>MoneyBuffer</vt:lpstr>
      <vt:lpstr>'Untitled Sheet'!MoneyModel</vt:lpstr>
      <vt:lpstr>MoneyModel</vt:lpstr>
      <vt:lpstr>'Untitled Sheet'!MonthVal</vt:lpstr>
      <vt:lpstr>MonthVal</vt:lpstr>
      <vt:lpstr>'Untitled Sheet'!NumDays</vt:lpstr>
      <vt:lpstr>NumDays</vt:lpstr>
      <vt:lpstr>'Untitled Sheet'!SubmitButtonMsg</vt:lpstr>
      <vt:lpstr>SubmitButtonMsg</vt:lpstr>
      <vt:lpstr>'Untitled Sheet'!YearVal</vt:lpstr>
      <vt:lpstr>YearVal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Mindy Jang;Meehyun Jang</dc:creator>
  <cp:lastModifiedBy>Meehyun Jang</cp:lastModifiedBy>
  <dcterms:created xsi:type="dcterms:W3CDTF">2011-12-06T20:16:00Z</dcterms:created>
  <dcterms:modified xsi:type="dcterms:W3CDTF">2017-11-20T02:04:23Z</dcterms:modified>
</cp:coreProperties>
</file>