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bookViews>
    <workbookView xWindow="1296" yWindow="624" windowWidth="23256" windowHeight="13176" tabRatio="623" activeTab="2"/>
  </bookViews>
  <sheets>
    <sheet name="Intro" sheetId="99" r:id="rId1"/>
    <sheet name="_controls" sheetId="92" r:id="rId2"/>
    <sheet name="Base" sheetId="97" r:id="rId3"/>
    <sheet name="Annual" sheetId="28" r:id="rId4"/>
  </sheets>
  <functionGroups builtInGroupCount="17"/>
  <definedNames>
    <definedName name="BufferModel">Base!$N$2</definedName>
    <definedName name="CurrSelectedDay">Base!$AB$3</definedName>
    <definedName name="DailyExpDate">Base!$T$6</definedName>
    <definedName name="DailyExpHeader">Base!$T$7</definedName>
    <definedName name="data1Header">Base!$AC$4</definedName>
    <definedName name="data2Header">Base!$AD$4</definedName>
    <definedName name="DateHeader">Base!$M$4</definedName>
    <definedName name="DayChartHeader">Base!$T$7</definedName>
    <definedName name="MoneyBuffer">Base!$AC$3</definedName>
    <definedName name="MoneyModel">Base!$N$2</definedName>
    <definedName name="MonthVal">Base!$F$1</definedName>
    <definedName name="NumDays">Base!$M$2</definedName>
    <definedName name="SubmitButtonMsg">Base!$T$21</definedName>
    <definedName name="YearVal">Base!$H$1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R2" i="97" l="1"/>
  <c r="AC3" i="97"/>
  <c r="N5" i="97"/>
  <c r="J12" i="97"/>
  <c r="J7" i="97"/>
  <c r="J21" i="97"/>
  <c r="R5" i="97"/>
  <c r="R6" i="97"/>
  <c r="R7" i="97"/>
  <c r="R8" i="97"/>
  <c r="R9" i="97"/>
  <c r="R10" i="97"/>
  <c r="R11" i="97"/>
  <c r="R12" i="97"/>
  <c r="R13" i="97"/>
  <c r="R14" i="97"/>
  <c r="R15" i="97"/>
  <c r="R16" i="97"/>
  <c r="R17" i="97"/>
  <c r="R18" i="97"/>
  <c r="R19" i="97"/>
  <c r="R20" i="97"/>
  <c r="R21" i="97"/>
  <c r="R22" i="97"/>
  <c r="R23" i="97"/>
  <c r="R24" i="97"/>
  <c r="R25" i="97"/>
  <c r="R26" i="97"/>
  <c r="R27" i="97"/>
  <c r="R28" i="97"/>
  <c r="R29" i="97"/>
  <c r="R30" i="97"/>
  <c r="R31" i="97"/>
  <c r="R32" i="97"/>
  <c r="R33" i="97"/>
  <c r="R34" i="97"/>
  <c r="R35" i="97"/>
  <c r="T4" i="97"/>
  <c r="M5" i="97"/>
  <c r="M6" i="97"/>
  <c r="N6" i="97"/>
  <c r="M7" i="97"/>
  <c r="N7" i="97"/>
  <c r="M8" i="97"/>
  <c r="N8" i="97"/>
  <c r="M9" i="97"/>
  <c r="N9" i="97"/>
  <c r="M10" i="97"/>
  <c r="N10" i="97"/>
  <c r="M11" i="97"/>
  <c r="N11" i="97"/>
  <c r="M12" i="97"/>
  <c r="N12" i="97"/>
  <c r="M13" i="97"/>
  <c r="N13" i="97"/>
  <c r="M14" i="97"/>
  <c r="N14" i="97"/>
  <c r="M15" i="97"/>
  <c r="N15" i="97"/>
  <c r="M16" i="97"/>
  <c r="N16" i="97"/>
  <c r="M17" i="97"/>
  <c r="N17" i="97"/>
  <c r="M18" i="97"/>
  <c r="N18" i="97"/>
  <c r="M19" i="97"/>
  <c r="N19" i="97"/>
  <c r="M20" i="97"/>
  <c r="N20" i="97"/>
  <c r="M21" i="97"/>
  <c r="N21" i="97"/>
  <c r="M22" i="97"/>
  <c r="N22" i="97"/>
  <c r="M23" i="97"/>
  <c r="N23" i="97"/>
  <c r="M24" i="97"/>
  <c r="N24" i="97"/>
  <c r="M25" i="97"/>
  <c r="N25" i="97"/>
  <c r="M26" i="97"/>
  <c r="N26" i="97"/>
  <c r="M27" i="97"/>
  <c r="N27" i="97"/>
  <c r="M28" i="97"/>
  <c r="N28" i="97"/>
  <c r="M29" i="97"/>
  <c r="N29" i="97"/>
  <c r="M30" i="97"/>
  <c r="N30" i="97"/>
  <c r="M31" i="97"/>
  <c r="N31" i="97"/>
  <c r="M32" i="97"/>
  <c r="N32" i="97"/>
  <c r="M33" i="97"/>
  <c r="N33" i="97"/>
  <c r="M34" i="97"/>
  <c r="N34" i="97"/>
  <c r="M35" i="97"/>
  <c r="N35" i="97"/>
  <c r="O36" i="97"/>
  <c r="J5" i="97"/>
  <c r="F13" i="97"/>
  <c r="M2" i="97"/>
  <c r="J20" i="97"/>
  <c r="L5" i="97"/>
  <c r="L6" i="97"/>
  <c r="L7" i="97"/>
  <c r="L8" i="97"/>
  <c r="L9" i="97"/>
  <c r="L10" i="97"/>
  <c r="L11" i="97"/>
  <c r="L12" i="97"/>
  <c r="L13" i="97"/>
  <c r="L14" i="97"/>
  <c r="L15" i="97"/>
  <c r="L16" i="97"/>
  <c r="L17" i="97"/>
  <c r="L18" i="97"/>
  <c r="L19" i="97"/>
  <c r="L20" i="97"/>
  <c r="L21" i="97"/>
  <c r="L22" i="97"/>
  <c r="L23" i="97"/>
  <c r="L24" i="97"/>
  <c r="L25" i="97"/>
  <c r="L26" i="97"/>
  <c r="L27" i="97"/>
  <c r="L28" i="97"/>
  <c r="L29" i="97"/>
  <c r="L30" i="97"/>
  <c r="L31" i="97"/>
  <c r="L32" i="97"/>
  <c r="L33" i="97"/>
  <c r="L34" i="97"/>
  <c r="L35" i="97"/>
  <c r="C23" i="97"/>
  <c r="C22" i="97"/>
  <c r="C20" i="97"/>
  <c r="C21" i="97"/>
  <c r="C19" i="97"/>
  <c r="C4" i="97"/>
  <c r="C14" i="97"/>
  <c r="C5" i="97"/>
  <c r="C6" i="97"/>
  <c r="C7" i="97"/>
  <c r="C8" i="97"/>
  <c r="C9" i="97"/>
  <c r="C10" i="97"/>
  <c r="C11" i="97"/>
  <c r="C12" i="97"/>
  <c r="C13" i="97"/>
  <c r="J18" i="97"/>
  <c r="J19" i="97"/>
</calcChain>
</file>

<file path=xl/comments1.xml><?xml version="1.0" encoding="utf-8"?>
<comments xmlns="http://schemas.openxmlformats.org/spreadsheetml/2006/main">
  <authors>
    <author>Meehyun Jang</author>
    <author>Microsoft Office User</author>
  </authors>
  <commentList>
    <comment ref="R2" authorId="0">
      <text>
        <r>
          <rPr>
            <sz val="9"/>
            <color indexed="81"/>
            <rFont val="Tahoma"/>
            <family val="2"/>
          </rPr>
          <t>This is your money pool. This is divided into money buffers and then distributed.</t>
        </r>
      </text>
    </comment>
    <comment ref="T2" authorId="1">
      <text>
        <r>
          <rPr>
            <sz val="10"/>
            <color indexed="81"/>
            <rFont val="Calibri"/>
            <family val="2"/>
          </rPr>
          <t xml:space="preserve">This is how much money buffer piled up so far!
</t>
        </r>
      </text>
    </comment>
    <comment ref="AB2" authorId="0">
      <text>
        <r>
          <rPr>
            <sz val="9"/>
            <color indexed="81"/>
            <rFont val="Tahoma"/>
            <family val="2"/>
          </rPr>
          <t>This section acts as a database for this current sheet. EDITING IS NOT RECOMMENDED (unless you figured everything out how it works. Then kudos for you!)</t>
        </r>
      </text>
    </comment>
    <comment ref="N5" authorId="0">
      <text>
        <r>
          <rPr>
            <sz val="9"/>
            <color indexed="81"/>
            <rFont val="Tahoma"/>
            <family val="2"/>
          </rPr>
          <t>This is your daily money buffer. Money buffer wraped in parenthesis (ex. "($50)") means it is not applied. This happens if the daily expense is "*". 
Collect your daily buffer my entering any amount of expense.</t>
        </r>
      </text>
    </comment>
    <comment ref="Q5" authorId="0">
      <text>
        <r>
          <rPr>
            <sz val="9"/>
            <color indexed="81"/>
            <rFont val="Tahoma"/>
            <family val="2"/>
          </rPr>
          <t>Click on the radio buttons on this row to see/edit details of expense of this day.</t>
        </r>
      </text>
    </comment>
    <comment ref="R5" authorId="0">
      <text>
        <r>
          <rPr>
            <sz val="9"/>
            <color indexed="81"/>
            <rFont val="Tahoma"/>
            <family val="2"/>
          </rPr>
          <t>(Prev day's remaining) - (Buffer):
If "Used" value is asterisk ('*'), assumes all daily buffer is spent</t>
        </r>
      </text>
    </comment>
    <comment ref="J12" authorId="0">
      <text>
        <r>
          <rPr>
            <sz val="9"/>
            <color indexed="81"/>
            <rFont val="Tahoma"/>
            <family val="2"/>
          </rPr>
          <t>If you reserve this suggested amount, you will have the daily buffer amount shown in "Model Daily Buffer"</t>
        </r>
      </text>
    </comment>
    <comment ref="J21" authorId="0">
      <text>
        <r>
          <rPr>
            <sz val="9"/>
            <color indexed="81"/>
            <rFont val="Tahoma"/>
            <family val="2"/>
          </rPr>
          <t>This is your money pool. This is divided into money buffers and then distributed.</t>
        </r>
      </text>
    </comment>
  </commentList>
</comments>
</file>

<file path=xl/comments2.xml><?xml version="1.0" encoding="utf-8"?>
<comments xmlns="http://schemas.openxmlformats.org/spreadsheetml/2006/main">
  <authors>
    <author>Microsoft Office User</author>
  </authors>
  <commentList>
    <comment ref="D5" authorId="0">
      <text>
        <r>
          <rPr>
            <b/>
            <sz val="10"/>
            <color indexed="81"/>
            <rFont val="Calibri"/>
            <family val="2"/>
          </rPr>
          <t>This may have gotten canceled due to card change</t>
        </r>
      </text>
    </comment>
    <comment ref="D6" authorId="0">
      <text>
        <r>
          <rPr>
            <b/>
            <sz val="10"/>
            <color indexed="81"/>
            <rFont val="Calibri"/>
            <family val="2"/>
          </rPr>
          <t>Evernote Plus</t>
        </r>
      </text>
    </comment>
  </commentList>
</comments>
</file>

<file path=xl/sharedStrings.xml><?xml version="1.0" encoding="utf-8"?>
<sst xmlns="http://schemas.openxmlformats.org/spreadsheetml/2006/main" count="152" uniqueCount="112">
  <si>
    <t>Loan2</t>
  </si>
  <si>
    <t>Loan1</t>
  </si>
  <si>
    <t>Electric</t>
  </si>
  <si>
    <t>Date</t>
  </si>
  <si>
    <t>Used</t>
  </si>
  <si>
    <t>Days</t>
  </si>
  <si>
    <t>*</t>
    <phoneticPr fontId="14" type="noConversion"/>
  </si>
  <si>
    <t>Amazon Prime</t>
  </si>
  <si>
    <t>NewScientist</t>
  </si>
  <si>
    <t>Evernote</t>
  </si>
  <si>
    <t>??</t>
  </si>
  <si>
    <t>10/14 [Oct-14]</t>
  </si>
  <si>
    <t>Annual Expenses</t>
  </si>
  <si>
    <t>Barns and Noble</t>
  </si>
  <si>
    <t>Trello</t>
  </si>
  <si>
    <t>04/18 [Apr-18]</t>
  </si>
  <si>
    <t>07/06 [Jul-6]</t>
  </si>
  <si>
    <t>03/08 [Mar-8]</t>
  </si>
  <si>
    <t>NumDays</t>
    <phoneticPr fontId="14" type="noConversion"/>
  </si>
  <si>
    <t>MonthVal</t>
  </si>
  <si>
    <t>/</t>
  </si>
  <si>
    <t>Buffer</t>
  </si>
  <si>
    <t>Remaining</t>
  </si>
  <si>
    <t>Rent</t>
  </si>
  <si>
    <t>Income</t>
  </si>
  <si>
    <t>ExpenseType</t>
  </si>
  <si>
    <t>Au</t>
  </si>
  <si>
    <t>Ma</t>
  </si>
  <si>
    <t>Status</t>
  </si>
  <si>
    <t>Internet</t>
  </si>
  <si>
    <t>Month:</t>
  </si>
  <si>
    <t>Icons</t>
  </si>
  <si>
    <t>Patreon</t>
    <phoneticPr fontId="14" type="noConversion"/>
  </si>
  <si>
    <t>Bus Pass</t>
    <phoneticPr fontId="14" type="noConversion"/>
  </si>
  <si>
    <t>Netflix</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</si>
  <si>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</si>
  <si>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</si>
  <si>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</si>
  <si>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</si>
  <si>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</si>
  <si>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</si>
  <si>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</si>
  <si>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</si>
  <si>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</si>
  <si>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</si>
  <si>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</si>
  <si>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</si>
  <si>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</si>
  <si>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</si>
  <si>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</si>
  <si>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</si>
  <si>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</si>
  <si>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</si>
  <si>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</si>
  <si>
    <t>★</t>
  </si>
  <si>
    <t>*</t>
  </si>
  <si>
    <t>Reminders</t>
  </si>
  <si>
    <t>Mark</t>
  </si>
  <si>
    <t>!</t>
  </si>
  <si>
    <t>o</t>
  </si>
  <si>
    <t>Day</t>
  </si>
  <si>
    <t>Total spent this month:</t>
  </si>
  <si>
    <t>Instruction on Github</t>
  </si>
  <si>
    <t>https://github.com/blacksandbox/money-buffer</t>
  </si>
  <si>
    <t>sandcubed@gmail.com</t>
  </si>
  <si>
    <t xml:space="preserve">Please do not redistribute without permission. </t>
  </si>
  <si>
    <t>Me and my pet succulent will be sad. :(</t>
  </si>
  <si>
    <t>Created by</t>
  </si>
  <si>
    <t xml:space="preserve">Money Buffer Sheet </t>
  </si>
  <si>
    <t>Car</t>
    <phoneticPr fontId="14" type="noConversion"/>
  </si>
  <si>
    <t>Total Buffered</t>
    <phoneticPr fontId="14" type="noConversion"/>
  </si>
  <si>
    <t>Note</t>
    <phoneticPr fontId="14" type="noConversion"/>
  </si>
  <si>
    <t>+</t>
    <phoneticPr fontId="14" type="noConversion"/>
  </si>
  <si>
    <t>$</t>
    <phoneticPr fontId="14" type="noConversion"/>
  </si>
  <si>
    <t>Monthly Expense</t>
    <phoneticPr fontId="14" type="noConversion"/>
  </si>
  <si>
    <t>★</t>
    <phoneticPr fontId="14" type="noConversion"/>
  </si>
  <si>
    <t>*</t>
    <phoneticPr fontId="14" type="noConversion"/>
  </si>
  <si>
    <t>➕</t>
  </si>
  <si>
    <t>➖</t>
  </si>
  <si>
    <t>💰 Usable fund</t>
    <phoneticPr fontId="14" type="noConversion"/>
  </si>
  <si>
    <t>Expense</t>
    <phoneticPr fontId="14" type="noConversion"/>
  </si>
  <si>
    <t>Reserve</t>
    <phoneticPr fontId="14" type="noConversion"/>
  </si>
  <si>
    <t>(Suggested)</t>
    <phoneticPr fontId="14" type="noConversion"/>
  </si>
  <si>
    <t>Add</t>
    <phoneticPr fontId="14" type="noConversion"/>
  </si>
  <si>
    <t>?</t>
    <phoneticPr fontId="14" type="noConversion"/>
  </si>
  <si>
    <t>(➕) Add</t>
    <phoneticPr fontId="14" type="noConversion"/>
  </si>
  <si>
    <t>♦ Buffer Pool</t>
    <phoneticPr fontId="14" type="noConversion"/>
  </si>
  <si>
    <t>Model Daily Buffer</t>
    <phoneticPr fontId="14" type="noConversion"/>
  </si>
  <si>
    <t>(➖) Subtract</t>
    <phoneticPr fontId="14" type="noConversion"/>
  </si>
  <si>
    <t>➖</t>
    <phoneticPr fontId="14" type="noConversion"/>
  </si>
  <si>
    <t>♦ Calc Buffer Pool</t>
    <phoneticPr fontId="14" type="noConversion"/>
  </si>
  <si>
    <t>Data</t>
  </si>
  <si>
    <t>Controls</t>
  </si>
  <si>
    <t>+</t>
  </si>
  <si>
    <t>curr</t>
  </si>
  <si>
    <t>day</t>
  </si>
  <si>
    <t>data1</t>
  </si>
  <si>
    <t>data2</t>
  </si>
  <si>
    <t>*</t>
    <phoneticPr fontId="14" type="noConversion"/>
  </si>
  <si>
    <t>*</t>
    <phoneticPr fontId="14" type="noConversion"/>
  </si>
  <si>
    <t>*</t>
    <phoneticPr fontId="14" type="noConversion"/>
  </si>
  <si>
    <t>*</t>
    <phoneticPr fontId="14" type="noConversion"/>
  </si>
  <si>
    <t>*</t>
    <phoneticPr fontId="14" type="noConversion"/>
  </si>
  <si>
    <t>🌱</t>
  </si>
  <si>
    <t>(Select a Day)</t>
    <phoneticPr fontId="14" type="noConversion"/>
  </si>
  <si>
    <t>*</t>
    <phoneticPr fontId="14" type="noConversion"/>
  </si>
  <si>
    <t>*</t>
    <phoneticPr fontId="14" type="noConversion"/>
  </si>
  <si>
    <t>*</t>
    <phoneticPr fontId="14" type="noConversion"/>
  </si>
  <si>
    <t>mb</t>
    <phoneticPr fontId="14" type="noConversion"/>
  </si>
  <si>
    <t>v2.3</t>
    <phoneticPr fontId="14" type="noConversion"/>
  </si>
  <si>
    <t>*</t>
    <phoneticPr fontId="14" type="noConversion"/>
  </si>
  <si>
    <t>*</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</si>
</sst>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26" formatCode="\$#,##0.00_);[Red]\(\$#,##0.00\)"/>
    <numFmt numFmtId="176" formatCode="&quot;$&quot;#,##0_);[Red]\(&quot;$&quot;#,##0\)"/>
    <numFmt numFmtId="177" formatCode="&quot;$&quot;#,##0.00_);[Red]\(&quot;$&quot;#,##0.00\)"/>
    <numFmt numFmtId="178" formatCode="_(&quot;$&quot;* #,##0.00_);_(&quot;$&quot;* \(#,##0.00\);_(&quot;$&quot;* &quot;-&quot;??_);_(@_)"/>
    <numFmt numFmtId="179" formatCode="&quot;$&quot;#,##0.00"/>
    <numFmt numFmtId="180" formatCode="0_);[Red]\(0\)"/>
    <numFmt numFmtId="181" formatCode="0.0_);[Red]\(0.0\)"/>
    <numFmt numFmtId="182" formatCode="0.00_);[Red]\(0.00\)"/>
  </numFmts>
  <fonts count="94">
    <font>
      <sz val="11"/>
      <color theme="1"/>
      <name val="맑은 고딕"/>
      <family val="2"/>
      <scheme val="minor"/>
    </font>
    <font>
      <b/>
      <sz val="11"/>
      <color theme="1"/>
      <name val="맑은 고딕"/>
      <family val="2"/>
      <scheme val="minor"/>
    </font>
    <font>
      <b/>
      <sz val="11"/>
      <color rgb="FF0070C0"/>
      <name val="맑은 고딕"/>
      <family val="2"/>
      <scheme val="minor"/>
    </font>
    <font>
      <sz val="11"/>
      <color theme="0" tint="-0.499984740745262"/>
      <name val="맑은 고딕"/>
      <family val="2"/>
      <scheme val="minor"/>
    </font>
    <font>
      <b/>
      <sz val="11"/>
      <color theme="8" tint="-0.249977111117893"/>
      <name val="맑은 고딕"/>
      <family val="2"/>
      <scheme val="minor"/>
    </font>
    <font>
      <sz val="11"/>
      <color rgb="FF00B050"/>
      <name val="맑은 고딕"/>
      <family val="2"/>
      <scheme val="minor"/>
    </font>
    <font>
      <sz val="11"/>
      <name val="맑은 고딕"/>
      <family val="2"/>
      <scheme val="minor"/>
    </font>
    <font>
      <b/>
      <sz val="11"/>
      <color theme="0" tint="-0.499984740745262"/>
      <name val="맑은 고딕"/>
      <family val="2"/>
      <scheme val="minor"/>
    </font>
    <font>
      <sz val="11"/>
      <color theme="9" tint="-0.249977111117893"/>
      <name val="맑은 고딕"/>
      <family val="2"/>
      <scheme val="minor"/>
    </font>
    <font>
      <b/>
      <sz val="11"/>
      <color rgb="FF7030A0"/>
      <name val="맑은 고딕"/>
      <family val="2"/>
      <scheme val="minor"/>
    </font>
    <font>
      <b/>
      <sz val="11"/>
      <color theme="5" tint="-0.249977111117893"/>
      <name val="맑은 고딕"/>
      <family val="2"/>
      <scheme val="minor"/>
    </font>
    <font>
      <b/>
      <sz val="11"/>
      <color theme="6" tint="-0.249977111117893"/>
      <name val="맑은 고딕"/>
      <family val="2"/>
      <scheme val="minor"/>
    </font>
    <font>
      <sz val="11"/>
      <color theme="7"/>
      <name val="맑은 고딕"/>
      <family val="2"/>
      <scheme val="minor"/>
    </font>
    <font>
      <sz val="11"/>
      <color rgb="FFFF0000"/>
      <name val="맑은 고딕"/>
      <family val="2"/>
      <scheme val="minor"/>
    </font>
    <font>
      <sz val="8"/>
      <name val="맑은 고딕"/>
      <family val="3"/>
      <charset val="129"/>
      <scheme val="minor"/>
    </font>
    <font>
      <sz val="11"/>
      <color theme="8"/>
      <name val="맑은 고딕"/>
      <family val="2"/>
      <scheme val="minor"/>
    </font>
    <font>
      <u/>
      <sz val="11"/>
      <color theme="10"/>
      <name val="맑은 고딕"/>
      <family val="2"/>
      <scheme val="minor"/>
    </font>
    <font>
      <u/>
      <sz val="11"/>
      <color theme="11"/>
      <name val="맑은 고딕"/>
      <family val="2"/>
      <scheme val="minor"/>
    </font>
    <font>
      <sz val="8"/>
      <color rgb="FF333333"/>
      <name val="Arial"/>
      <family val="2"/>
    </font>
    <font>
      <b/>
      <sz val="11"/>
      <color theme="1"/>
      <name val="맑은 고딕"/>
      <family val="3"/>
      <charset val="129"/>
      <scheme val="minor"/>
    </font>
    <font>
      <b/>
      <sz val="11"/>
      <color theme="5" tint="-0.499984740745262"/>
      <name val="맑은 고딕"/>
      <family val="3"/>
      <charset val="129"/>
      <scheme val="minor"/>
    </font>
    <font>
      <b/>
      <sz val="11"/>
      <color rgb="FFFF7C80"/>
      <name val="맑은 고딕"/>
      <family val="3"/>
      <charset val="129"/>
      <scheme val="minor"/>
    </font>
    <font>
      <b/>
      <sz val="11"/>
      <color rgb="FF236B47"/>
      <name val="맑은 고딕"/>
      <family val="3"/>
      <charset val="129"/>
      <scheme val="minor"/>
    </font>
    <font>
      <sz val="11"/>
      <color theme="1"/>
      <name val="맑은 고딕"/>
      <family val="3"/>
      <charset val="129"/>
      <scheme val="minor"/>
    </font>
    <font>
      <b/>
      <sz val="11"/>
      <color theme="0" tint="-0.249977111117893"/>
      <name val="맑은 고딕"/>
      <family val="3"/>
      <charset val="129"/>
      <scheme val="minor"/>
    </font>
    <font>
      <sz val="11"/>
      <color theme="1" tint="0.499984740745262"/>
      <name val="맑은 고딕"/>
      <family val="2"/>
      <scheme val="minor"/>
    </font>
    <font>
      <sz val="16"/>
      <color theme="1"/>
      <name val="맑은 고딕"/>
      <family val="2"/>
      <scheme val="minor"/>
    </font>
    <font>
      <b/>
      <sz val="16"/>
      <color theme="1"/>
      <name val="맑은 고딕"/>
      <family val="2"/>
      <scheme val="minor"/>
    </font>
    <font>
      <sz val="16"/>
      <color rgb="FFFF7C80"/>
      <name val="맑은 고딕"/>
      <family val="2"/>
      <scheme val="minor"/>
    </font>
    <font>
      <sz val="11"/>
      <color theme="0" tint="-0.249977111117893"/>
      <name val="맑은 고딕"/>
      <family val="2"/>
      <scheme val="minor"/>
    </font>
    <font>
      <b/>
      <sz val="10"/>
      <color indexed="81"/>
      <name val="Calibri"/>
      <family val="2"/>
    </font>
    <font>
      <sz val="10"/>
      <color indexed="81"/>
      <name val="Calibri"/>
      <family val="2"/>
    </font>
    <font>
      <sz val="11"/>
      <color rgb="FFFF7C80"/>
      <name val="맑은 고딕"/>
      <family val="2"/>
      <scheme val="minor"/>
    </font>
    <font>
      <sz val="24"/>
      <color theme="1"/>
      <name val="Century Gothic"/>
      <family val="2"/>
    </font>
    <font>
      <sz val="20"/>
      <color theme="1" tint="0.34998626667073579"/>
      <name val="Century Gothic"/>
      <family val="2"/>
    </font>
    <font>
      <sz val="16"/>
      <color theme="0" tint="-0.499984740745262"/>
      <name val="Century Gothic"/>
      <family val="2"/>
    </font>
    <font>
      <sz val="20"/>
      <color theme="0" tint="-0.499984740745262"/>
      <name val="Century Gothic"/>
      <family val="2"/>
    </font>
    <font>
      <sz val="11"/>
      <color rgb="FF0070C0"/>
      <name val="Century Gothic"/>
      <family val="2"/>
    </font>
    <font>
      <sz val="11"/>
      <color theme="8" tint="-0.249977111117893"/>
      <name val="Consolas"/>
      <family val="3"/>
    </font>
    <font>
      <b/>
      <sz val="11"/>
      <color theme="1" tint="0.499984740745262"/>
      <name val="맑은 고딕"/>
      <family val="2"/>
      <scheme val="minor"/>
    </font>
    <font>
      <sz val="11"/>
      <name val="Consolas"/>
      <family val="3"/>
    </font>
    <font>
      <sz val="14"/>
      <color rgb="FF92D050"/>
      <name val="Century Gothic"/>
      <family val="2"/>
    </font>
    <font>
      <sz val="14"/>
      <color rgb="FF00B050"/>
      <name val="Consolas"/>
      <family val="3"/>
    </font>
    <font>
      <sz val="11"/>
      <color theme="1"/>
      <name val="Century Gothic"/>
      <family val="2"/>
    </font>
    <font>
      <sz val="11"/>
      <color theme="6" tint="-0.499984740745262"/>
      <name val="Century Gothic"/>
      <family val="2"/>
    </font>
    <font>
      <sz val="11"/>
      <color theme="2" tint="-0.499984740745262"/>
      <name val="맑은 고딕"/>
      <family val="2"/>
      <scheme val="minor"/>
    </font>
    <font>
      <sz val="11"/>
      <color theme="1" tint="0.499984740745262"/>
      <name val="Consolas"/>
      <family val="3"/>
    </font>
    <font>
      <sz val="11"/>
      <color theme="1"/>
      <name val="Consolas"/>
      <family val="3"/>
    </font>
    <font>
      <sz val="11"/>
      <color theme="1" tint="0.34998626667073579"/>
      <name val="Century Gothic"/>
      <family val="2"/>
    </font>
    <font>
      <sz val="12"/>
      <color rgb="FFFF7C80"/>
      <name val="맑은 고딕"/>
      <family val="2"/>
      <scheme val="minor"/>
    </font>
    <font>
      <sz val="11"/>
      <color theme="1" tint="0.249977111117893"/>
      <name val="Century Gothic"/>
      <family val="2"/>
    </font>
    <font>
      <sz val="11"/>
      <name val="맑은 고딕"/>
      <family val="3"/>
      <charset val="129"/>
      <scheme val="minor"/>
    </font>
    <font>
      <sz val="12"/>
      <name val="맑은 고딕"/>
      <family val="2"/>
      <scheme val="minor"/>
    </font>
    <font>
      <sz val="12"/>
      <name val="Batang"/>
      <family val="1"/>
      <charset val="129"/>
    </font>
    <font>
      <sz val="12"/>
      <name val="맑은 고딕"/>
      <family val="3"/>
      <charset val="129"/>
      <scheme val="minor"/>
    </font>
    <font>
      <sz val="11"/>
      <color theme="0" tint="-4.9989318521683403E-2"/>
      <name val="맑은 고딕"/>
      <family val="3"/>
      <charset val="129"/>
      <scheme val="minor"/>
    </font>
    <font>
      <sz val="11"/>
      <color rgb="FF000000"/>
      <name val="Consolas"/>
      <family val="3"/>
    </font>
    <font>
      <sz val="11"/>
      <color indexed="205"/>
      <name val="Century Gothic"/>
      <family val="2"/>
    </font>
    <font>
      <sz val="11"/>
      <color theme="1" tint="0.14999847407452621"/>
      <name val="맑은 고딕"/>
      <family val="2"/>
      <scheme val="minor"/>
    </font>
    <font>
      <u/>
      <sz val="11"/>
      <color theme="10"/>
      <name val="Century Gothic"/>
      <family val="1"/>
    </font>
    <font>
      <sz val="16"/>
      <color theme="1"/>
      <name val="Century Gothic"/>
      <family val="2"/>
    </font>
    <font>
      <u/>
      <sz val="12"/>
      <color theme="10"/>
      <name val="Century Gothic"/>
      <family val="1"/>
    </font>
    <font>
      <sz val="11"/>
      <color rgb="FFCC0066"/>
      <name val="맑은 고딕"/>
      <family val="2"/>
      <scheme val="minor"/>
    </font>
    <font>
      <sz val="18"/>
      <color theme="1"/>
      <name val="Century Gothic"/>
      <family val="2"/>
    </font>
    <font>
      <sz val="18"/>
      <color theme="0" tint="-0.499984740745262"/>
      <name val="Century Gothic"/>
      <family val="2"/>
    </font>
    <font>
      <sz val="11"/>
      <color theme="0" tint="-0.34998626667073579"/>
      <name val="맑은 고딕"/>
      <family val="2"/>
      <scheme val="minor"/>
    </font>
    <font>
      <sz val="11"/>
      <color rgb="FFCC0066"/>
      <name val="맑은 고딕"/>
      <family val="3"/>
      <charset val="129"/>
      <scheme val="minor"/>
    </font>
    <font>
      <sz val="11"/>
      <color theme="5" tint="-0.249977111117893"/>
      <name val="맑은 고딕"/>
      <family val="2"/>
      <scheme val="minor"/>
    </font>
    <font>
      <sz val="11"/>
      <color theme="5" tint="-0.249977111117893"/>
      <name val="맑은 고딕"/>
      <family val="3"/>
      <charset val="129"/>
      <scheme val="minor"/>
    </font>
    <font>
      <b/>
      <sz val="11"/>
      <color theme="5" tint="-0.249977111117893"/>
      <name val="맑은 고딕"/>
      <family val="3"/>
      <charset val="129"/>
      <scheme val="minor"/>
    </font>
    <font>
      <b/>
      <sz val="11"/>
      <color theme="6" tint="-0.249977111117893"/>
      <name val="맑은 고딕"/>
      <family val="3"/>
      <charset val="129"/>
      <scheme val="minor"/>
    </font>
    <font>
      <sz val="11"/>
      <color theme="5"/>
      <name val="맑은 고딕"/>
      <family val="2"/>
      <scheme val="minor"/>
    </font>
    <font>
      <sz val="11"/>
      <color theme="6"/>
      <name val="맑은 고딕"/>
      <family val="2"/>
      <scheme val="minor"/>
    </font>
    <font>
      <sz val="11"/>
      <color theme="6" tint="-0.249977111117893"/>
      <name val="맑은 고딕"/>
      <family val="2"/>
      <scheme val="minor"/>
    </font>
    <font>
      <b/>
      <sz val="11"/>
      <color theme="5" tint="-0.249977111117893"/>
      <name val="Consolas"/>
      <family val="3"/>
    </font>
    <font>
      <b/>
      <sz val="11"/>
      <color theme="5" tint="-0.499984740745262"/>
      <name val="맑은 고딕"/>
      <family val="2"/>
      <scheme val="minor"/>
    </font>
    <font>
      <b/>
      <sz val="11"/>
      <color theme="7"/>
      <name val="Consolas"/>
      <family val="3"/>
    </font>
    <font>
      <b/>
      <sz val="11"/>
      <color theme="7"/>
      <name val="맑은 고딕"/>
      <family val="2"/>
      <scheme val="minor"/>
    </font>
    <font>
      <b/>
      <sz val="11"/>
      <color theme="7"/>
      <name val="맑은 고딕"/>
      <family val="3"/>
      <charset val="129"/>
      <scheme val="minor"/>
    </font>
    <font>
      <b/>
      <sz val="11"/>
      <color theme="0" tint="-0.499984740745262"/>
      <name val="Consolas"/>
      <family val="3"/>
    </font>
    <font>
      <b/>
      <sz val="11"/>
      <color theme="0" tint="-0.499984740745262"/>
      <name val="맑은 고딕"/>
      <family val="3"/>
      <charset val="129"/>
      <scheme val="minor"/>
    </font>
    <font>
      <sz val="20"/>
      <color theme="1"/>
      <name val="Century Gothic"/>
      <family val="1"/>
    </font>
    <font>
      <sz val="14"/>
      <color rgb="FF236B47"/>
      <name val="Century Gothic"/>
      <family val="2"/>
    </font>
    <font>
      <b/>
      <sz val="11"/>
      <color rgb="FF0070C0"/>
      <name val="맑은 고딕"/>
      <family val="3"/>
      <charset val="129"/>
      <scheme val="minor"/>
    </font>
    <font>
      <b/>
      <sz val="12"/>
      <color rgb="FF333333"/>
      <name val="Century Gothic"/>
      <family val="2"/>
    </font>
    <font>
      <sz val="11"/>
      <color rgb="FF50575E"/>
      <name val="Century Gothic"/>
      <family val="2"/>
    </font>
    <font>
      <b/>
      <sz val="11"/>
      <color theme="0" tint="-0.14999847407452621"/>
      <name val="Century Gothic"/>
      <family val="2"/>
    </font>
    <font>
      <b/>
      <sz val="11"/>
      <color rgb="FF00B050"/>
      <name val="Century Gothic"/>
      <family val="2"/>
    </font>
    <font>
      <b/>
      <sz val="11"/>
      <color theme="1"/>
      <name val="Century Gothic"/>
      <family val="2"/>
    </font>
    <font>
      <b/>
      <sz val="11"/>
      <color rgb="FFC00000"/>
      <name val="맑은 고딕"/>
      <family val="3"/>
      <charset val="129"/>
      <scheme val="minor"/>
    </font>
    <font>
      <sz val="9"/>
      <color indexed="81"/>
      <name val="Tahoma"/>
      <family val="2"/>
    </font>
    <font>
      <sz val="11"/>
      <color rgb="FFC0C0C0"/>
      <name val="맑은 고딕"/>
      <family val="2"/>
      <scheme val="minor"/>
    </font>
    <font>
      <sz val="11"/>
      <color rgb="FFC0C0C0"/>
      <name val="맑은 고딕"/>
      <family val="3"/>
      <charset val="129"/>
      <scheme val="minor"/>
    </font>
    <font>
      <sz val="11"/>
      <color theme="8"/>
      <name val="Consolas"/>
      <family val="3"/>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s>
  <borders count="33">
    <border>
      <left/>
      <right/>
      <top/>
      <bottom/>
      <diagonal/>
    </border>
    <border>
      <left/>
      <right/>
      <top/>
      <bottom style="medium">
        <color theme="3" tint="0.39997558519241921"/>
      </bottom>
      <diagonal/>
    </border>
    <border>
      <left style="thin">
        <color theme="6"/>
      </left>
      <right/>
      <top/>
      <bottom/>
      <diagonal/>
    </border>
    <border>
      <left style="thin">
        <color theme="6"/>
      </left>
      <right/>
      <top style="thin">
        <color theme="6"/>
      </top>
      <bottom/>
      <diagonal/>
    </border>
    <border>
      <left style="thin">
        <color theme="6"/>
      </left>
      <right/>
      <top/>
      <bottom style="thin">
        <color theme="6"/>
      </bottom>
      <diagonal/>
    </border>
    <border>
      <left style="medium">
        <color theme="3" tint="0.39997558519241921"/>
      </left>
      <right/>
      <top/>
      <bottom/>
      <diagonal/>
    </border>
    <border>
      <left/>
      <right/>
      <top/>
      <bottom style="hair">
        <color theme="3" tint="0.39997558519241921"/>
      </bottom>
      <diagonal/>
    </border>
    <border>
      <left/>
      <right/>
      <top style="hair">
        <color theme="3" tint="0.39997558519241921"/>
      </top>
      <bottom style="hair">
        <color theme="3" tint="0.39997558519241921"/>
      </bottom>
      <diagonal/>
    </border>
    <border>
      <left/>
      <right/>
      <top style="medium">
        <color theme="0" tint="-0.499984740745262"/>
      </top>
      <bottom/>
      <diagonal/>
    </border>
    <border>
      <left/>
      <right/>
      <top style="double">
        <color theme="0" tint="-0.249977111117893"/>
      </top>
      <bottom/>
      <diagonal/>
    </border>
    <border>
      <left/>
      <right style="medium">
        <color theme="0" tint="-0.249977111117893"/>
      </right>
      <top/>
      <bottom style="hair">
        <color theme="3" tint="0.39997558519241921"/>
      </bottom>
      <diagonal/>
    </border>
    <border>
      <left/>
      <right style="medium">
        <color theme="3" tint="0.39997558519241921"/>
      </right>
      <top/>
      <bottom/>
      <diagonal/>
    </border>
    <border>
      <left style="medium">
        <color theme="3" tint="0.39997558519241921"/>
      </left>
      <right style="medium">
        <color theme="0" tint="-0.249977111117893"/>
      </right>
      <top style="hair">
        <color theme="3" tint="0.39997558519241921"/>
      </top>
      <bottom style="hair">
        <color theme="3" tint="0.39997558519241921"/>
      </bottom>
      <diagonal/>
    </border>
    <border>
      <left style="thin">
        <color theme="0" tint="-0.34998626667073579"/>
      </left>
      <right/>
      <top/>
      <bottom/>
      <diagonal/>
    </border>
    <border>
      <left style="medium">
        <color theme="3" tint="0.39997558519241921"/>
      </left>
      <right style="medium">
        <color theme="5" tint="0.39997558519241921"/>
      </right>
      <top/>
      <bottom/>
      <diagonal/>
    </border>
    <border>
      <left style="medium">
        <color theme="5" tint="0.39997558519241921"/>
      </left>
      <right/>
      <top/>
      <bottom/>
      <diagonal/>
    </border>
    <border>
      <left style="medium">
        <color theme="5" tint="0.39997558519241921"/>
      </left>
      <right/>
      <top/>
      <bottom style="medium">
        <color theme="5" tint="0.39997558519241921"/>
      </bottom>
      <diagonal/>
    </border>
    <border>
      <left/>
      <right style="medium">
        <color theme="5" tint="0.39997558519241921"/>
      </right>
      <top/>
      <bottom style="medium">
        <color theme="5" tint="0.39997558519241921"/>
      </bottom>
      <diagonal/>
    </border>
    <border>
      <left style="medium">
        <color theme="5" tint="0.39997558519241921"/>
      </left>
      <right/>
      <top style="medium">
        <color theme="5" tint="0.39997558519241921"/>
      </top>
      <bottom/>
      <diagonal/>
    </border>
    <border>
      <left/>
      <right style="medium">
        <color theme="5" tint="0.39997558519241921"/>
      </right>
      <top style="medium">
        <color theme="5" tint="0.39997558519241921"/>
      </top>
      <bottom/>
      <diagonal/>
    </border>
    <border>
      <left style="medium">
        <color theme="6"/>
      </left>
      <right/>
      <top style="medium">
        <color theme="6"/>
      </top>
      <bottom/>
      <diagonal/>
    </border>
    <border>
      <left style="medium">
        <color theme="6"/>
      </left>
      <right/>
      <top/>
      <bottom style="medium">
        <color theme="6"/>
      </bottom>
      <diagonal/>
    </border>
    <border>
      <left/>
      <right style="medium">
        <color theme="6"/>
      </right>
      <top style="medium">
        <color theme="6"/>
      </top>
      <bottom/>
      <diagonal/>
    </border>
    <border>
      <left style="medium">
        <color theme="3" tint="0.39997558519241921"/>
      </left>
      <right style="medium">
        <color theme="6"/>
      </right>
      <top/>
      <bottom style="medium">
        <color theme="6"/>
      </bottom>
      <diagonal/>
    </border>
    <border>
      <left style="medium">
        <color theme="7" tint="0.39997558519241921"/>
      </left>
      <right/>
      <top style="medium">
        <color theme="7" tint="0.39997558519241921"/>
      </top>
      <bottom/>
      <diagonal/>
    </border>
    <border>
      <left style="medium">
        <color theme="7" tint="0.39997558519241921"/>
      </left>
      <right/>
      <top/>
      <bottom/>
      <diagonal/>
    </border>
    <border>
      <left style="medium">
        <color theme="7" tint="0.39997558519241921"/>
      </left>
      <right/>
      <top style="medium">
        <color theme="0" tint="-0.499984740745262"/>
      </top>
      <bottom style="medium">
        <color theme="7" tint="0.39997558519241921"/>
      </bottom>
      <diagonal/>
    </border>
    <border>
      <left/>
      <right style="medium">
        <color theme="7" tint="0.39997558519241921"/>
      </right>
      <top style="medium">
        <color theme="7" tint="0.39997558519241921"/>
      </top>
      <bottom/>
      <diagonal/>
    </border>
    <border>
      <left/>
      <right style="medium">
        <color theme="7" tint="0.39997558519241921"/>
      </right>
      <top/>
      <bottom/>
      <diagonal/>
    </border>
    <border>
      <left/>
      <right style="medium">
        <color theme="7" tint="0.39997558519241921"/>
      </right>
      <top style="medium">
        <color theme="0" tint="-0.499984740745262"/>
      </top>
      <bottom style="medium">
        <color theme="7" tint="0.39997558519241921"/>
      </bottom>
      <diagonal/>
    </border>
    <border>
      <left/>
      <right style="thin">
        <color rgb="FF92D050"/>
      </right>
      <top style="thin">
        <color theme="6"/>
      </top>
      <bottom/>
      <diagonal/>
    </border>
    <border>
      <left/>
      <right style="thin">
        <color rgb="FF92D050"/>
      </right>
      <top/>
      <bottom/>
      <diagonal/>
    </border>
    <border>
      <left/>
      <right style="thin">
        <color rgb="FF92D050"/>
      </right>
      <top/>
      <bottom style="thin">
        <color theme="6"/>
      </bottom>
      <diagonal/>
    </border>
  </borders>
  <cellStyleXfs count="31">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78" fontId="23"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149">
    <xf numFmtId="0" fontId="0" fillId="0" borderId="0" xfId="0"/>
    <xf numFmtId="0" fontId="1" fillId="0" borderId="0" xfId="0" applyFont="1"/>
    <xf numFmtId="0" fontId="3" fillId="0" borderId="0" xfId="0" applyFont="1"/>
    <xf numFmtId="0" fontId="5" fillId="0" borderId="0" xfId="0" applyFont="1"/>
    <xf numFmtId="0" fontId="4" fillId="2" borderId="0" xfId="0" applyFont="1" applyFill="1"/>
    <xf numFmtId="0" fontId="8" fillId="0" borderId="0" xfId="0" applyFont="1"/>
    <xf numFmtId="0" fontId="9" fillId="0" borderId="0" xfId="0" applyFont="1"/>
    <xf numFmtId="0" fontId="11" fillId="0" borderId="0" xfId="0" applyFont="1"/>
    <xf numFmtId="2" fontId="11" fillId="0" borderId="0" xfId="0" applyNumberFormat="1" applyFont="1"/>
    <xf numFmtId="0" fontId="0" fillId="0" borderId="0" xfId="0" applyAlignment="1">
      <alignment horizontal="left"/>
    </xf>
    <xf numFmtId="0" fontId="13" fillId="0" borderId="0" xfId="0" applyFont="1" applyAlignment="1">
      <alignment horizontal="right"/>
    </xf>
    <xf numFmtId="0" fontId="12" fillId="0" borderId="0" xfId="0" applyFont="1" applyAlignment="1">
      <alignment horizontal="right"/>
    </xf>
    <xf numFmtId="0" fontId="15" fillId="0" borderId="0" xfId="0" applyFont="1" applyAlignment="1">
      <alignment horizontal="right"/>
    </xf>
    <xf numFmtId="176" fontId="1" fillId="0" borderId="0" xfId="0" applyNumberFormat="1" applyFont="1"/>
    <xf numFmtId="26" fontId="18" fillId="0" borderId="0" xfId="0" applyNumberFormat="1" applyFont="1"/>
    <xf numFmtId="0" fontId="19" fillId="0" borderId="0" xfId="0" applyFont="1"/>
    <xf numFmtId="0" fontId="26" fillId="0" borderId="0" xfId="0" applyFont="1"/>
    <xf numFmtId="0" fontId="27" fillId="0" borderId="0" xfId="0" applyFont="1"/>
    <xf numFmtId="0" fontId="28" fillId="0" borderId="0" xfId="0" applyFont="1"/>
    <xf numFmtId="0" fontId="29" fillId="0" borderId="0" xfId="0" applyFont="1"/>
    <xf numFmtId="176" fontId="24" fillId="0" borderId="0" xfId="0" applyNumberFormat="1" applyFont="1"/>
    <xf numFmtId="16" fontId="0" fillId="0" borderId="0" xfId="0" applyNumberFormat="1" applyAlignment="1">
      <alignment horizontal="left"/>
    </xf>
    <xf numFmtId="16" fontId="29" fillId="0" borderId="0" xfId="0" applyNumberFormat="1" applyFont="1" applyAlignment="1">
      <alignment horizontal="left"/>
    </xf>
    <xf numFmtId="14" fontId="0" fillId="0" borderId="0" xfId="0" applyNumberFormat="1" applyAlignment="1">
      <alignment horizontal="left"/>
    </xf>
    <xf numFmtId="179" fontId="1" fillId="0" borderId="0" xfId="0" applyNumberFormat="1" applyFont="1"/>
    <xf numFmtId="179" fontId="21" fillId="0" borderId="0" xfId="0" applyNumberFormat="1" applyFont="1"/>
    <xf numFmtId="176" fontId="32" fillId="0" borderId="0" xfId="0" applyNumberFormat="1" applyFont="1"/>
    <xf numFmtId="176" fontId="21" fillId="0" borderId="0" xfId="0" applyNumberFormat="1" applyFont="1"/>
    <xf numFmtId="0" fontId="36" fillId="3" borderId="0" xfId="0" applyFont="1" applyFill="1"/>
    <xf numFmtId="14" fontId="6" fillId="0" borderId="0" xfId="0" applyNumberFormat="1" applyFont="1" applyAlignment="1">
      <alignment horizontal="left"/>
    </xf>
    <xf numFmtId="0" fontId="0" fillId="0" borderId="0" xfId="0" applyBorder="1"/>
    <xf numFmtId="0" fontId="34" fillId="3" borderId="1" xfId="0" applyFont="1" applyFill="1" applyBorder="1" applyAlignment="1"/>
    <xf numFmtId="0" fontId="35" fillId="3" borderId="1" xfId="0" applyFont="1" applyFill="1" applyBorder="1" applyAlignment="1">
      <alignment horizontal="left"/>
    </xf>
    <xf numFmtId="0" fontId="38" fillId="0" borderId="0" xfId="0" applyFont="1" applyAlignment="1">
      <alignment horizontal="left"/>
    </xf>
    <xf numFmtId="0" fontId="4" fillId="0" borderId="0" xfId="0" applyFont="1" applyAlignment="1">
      <alignment horizontal="left"/>
    </xf>
    <xf numFmtId="0" fontId="39" fillId="0" borderId="0" xfId="0" applyFont="1"/>
    <xf numFmtId="0" fontId="7" fillId="4" borderId="0" xfId="0" applyFont="1" applyFill="1"/>
    <xf numFmtId="0" fontId="20" fillId="4" borderId="0" xfId="0" applyFont="1" applyFill="1"/>
    <xf numFmtId="0" fontId="44" fillId="0" borderId="6" xfId="0" applyFont="1" applyFill="1" applyBorder="1"/>
    <xf numFmtId="0" fontId="5" fillId="3" borderId="6" xfId="0" applyFont="1" applyFill="1" applyBorder="1"/>
    <xf numFmtId="2" fontId="46" fillId="0" borderId="0" xfId="21" applyNumberFormat="1" applyFont="1"/>
    <xf numFmtId="0" fontId="25" fillId="0" borderId="0" xfId="0" applyFont="1" applyAlignment="1">
      <alignment horizontal="left"/>
    </xf>
    <xf numFmtId="0" fontId="10" fillId="0" borderId="8" xfId="0" applyFont="1" applyBorder="1"/>
    <xf numFmtId="179" fontId="43" fillId="3" borderId="5" xfId="21" applyNumberFormat="1" applyFont="1" applyFill="1" applyBorder="1"/>
    <xf numFmtId="179" fontId="37" fillId="3" borderId="5" xfId="21" applyNumberFormat="1" applyFont="1" applyFill="1" applyBorder="1"/>
    <xf numFmtId="0" fontId="6" fillId="3" borderId="0" xfId="0" applyFont="1" applyFill="1" applyBorder="1" applyAlignment="1">
      <alignment horizontal="right"/>
    </xf>
    <xf numFmtId="0" fontId="6" fillId="0" borderId="0" xfId="0" applyFont="1" applyFill="1" applyBorder="1" applyAlignment="1">
      <alignment horizontal="right"/>
    </xf>
    <xf numFmtId="179" fontId="40" fillId="0" borderId="9" xfId="21" applyNumberFormat="1" applyFont="1" applyBorder="1"/>
    <xf numFmtId="0" fontId="2" fillId="0" borderId="0" xfId="0" applyFont="1" applyAlignment="1"/>
    <xf numFmtId="0" fontId="45" fillId="3" borderId="10" xfId="0" applyFont="1" applyFill="1" applyBorder="1" applyAlignment="1">
      <alignment horizontal="left"/>
    </xf>
    <xf numFmtId="0" fontId="6" fillId="0" borderId="0" xfId="0" applyFont="1"/>
    <xf numFmtId="0" fontId="51" fillId="0" borderId="0" xfId="0" applyFont="1"/>
    <xf numFmtId="0" fontId="52" fillId="0" borderId="0" xfId="0" applyFont="1"/>
    <xf numFmtId="0" fontId="53" fillId="0" borderId="0" xfId="0" applyFont="1"/>
    <xf numFmtId="0" fontId="54" fillId="0" borderId="0" xfId="0" applyFont="1"/>
    <xf numFmtId="0" fontId="55" fillId="0" borderId="0" xfId="0" applyFont="1"/>
    <xf numFmtId="0" fontId="0" fillId="5" borderId="0" xfId="0" applyFill="1"/>
    <xf numFmtId="0" fontId="0" fillId="0" borderId="11" xfId="0" applyBorder="1"/>
    <xf numFmtId="0" fontId="45" fillId="3" borderId="12" xfId="0" applyFont="1" applyFill="1" applyBorder="1" applyAlignment="1">
      <alignment horizontal="left"/>
    </xf>
    <xf numFmtId="0" fontId="57" fillId="0" borderId="6" xfId="0" applyFont="1" applyFill="1" applyBorder="1"/>
    <xf numFmtId="0" fontId="0" fillId="0" borderId="9" xfId="0" applyBorder="1"/>
    <xf numFmtId="179" fontId="49" fillId="0" borderId="9" xfId="0" applyNumberFormat="1" applyFont="1" applyBorder="1"/>
    <xf numFmtId="0" fontId="58" fillId="3" borderId="6" xfId="0" applyNumberFormat="1" applyFont="1" applyFill="1" applyBorder="1" applyAlignment="1">
      <alignment horizontal="left"/>
    </xf>
    <xf numFmtId="0" fontId="58" fillId="3" borderId="7" xfId="0" applyNumberFormat="1" applyFont="1" applyFill="1" applyBorder="1" applyAlignment="1">
      <alignment horizontal="left"/>
    </xf>
    <xf numFmtId="0" fontId="43" fillId="0" borderId="0" xfId="0" applyFont="1"/>
    <xf numFmtId="0" fontId="59" fillId="0" borderId="0" xfId="22" applyFont="1"/>
    <xf numFmtId="0" fontId="60" fillId="0" borderId="0" xfId="0" applyFont="1"/>
    <xf numFmtId="0" fontId="61" fillId="0" borderId="0" xfId="22" applyFont="1"/>
    <xf numFmtId="0" fontId="62" fillId="0" borderId="0" xfId="0" applyFont="1"/>
    <xf numFmtId="0" fontId="63" fillId="0" borderId="0" xfId="0" applyFont="1"/>
    <xf numFmtId="0" fontId="64" fillId="5" borderId="0" xfId="0" applyFont="1" applyFill="1"/>
    <xf numFmtId="0" fontId="3" fillId="5" borderId="0" xfId="0" applyFont="1" applyFill="1"/>
    <xf numFmtId="0" fontId="0" fillId="3" borderId="0" xfId="0" applyFill="1" applyAlignment="1">
      <alignment horizontal="left"/>
    </xf>
    <xf numFmtId="0" fontId="0" fillId="4" borderId="5" xfId="0" applyFill="1" applyBorder="1"/>
    <xf numFmtId="0" fontId="65" fillId="3" borderId="0" xfId="0" applyFont="1" applyFill="1"/>
    <xf numFmtId="0" fontId="65" fillId="3" borderId="6" xfId="0" applyFont="1" applyFill="1" applyBorder="1" applyAlignment="1">
      <alignment horizontal="right"/>
    </xf>
    <xf numFmtId="0" fontId="62" fillId="3" borderId="0" xfId="0" applyFont="1" applyFill="1" applyAlignment="1">
      <alignment horizontal="center"/>
    </xf>
    <xf numFmtId="0" fontId="62" fillId="3" borderId="5" xfId="0" applyFont="1" applyFill="1" applyBorder="1"/>
    <xf numFmtId="0" fontId="66" fillId="3" borderId="5" xfId="0" applyFont="1" applyFill="1" applyBorder="1"/>
    <xf numFmtId="179" fontId="48" fillId="3" borderId="14" xfId="0" applyNumberFormat="1" applyFont="1" applyFill="1" applyBorder="1" applyAlignment="1">
      <alignment horizontal="right"/>
    </xf>
    <xf numFmtId="0" fontId="22" fillId="0" borderId="21" xfId="0" applyFont="1" applyBorder="1" applyAlignment="1">
      <alignment horizontal="left"/>
    </xf>
    <xf numFmtId="179" fontId="50" fillId="3" borderId="23" xfId="0" applyNumberFormat="1" applyFont="1" applyFill="1" applyBorder="1" applyAlignment="1">
      <alignment horizontal="right"/>
    </xf>
    <xf numFmtId="0" fontId="10" fillId="0" borderId="16" xfId="0" applyFont="1" applyBorder="1"/>
    <xf numFmtId="2" fontId="74" fillId="0" borderId="17" xfId="0" applyNumberFormat="1" applyFont="1" applyBorder="1" applyAlignment="1">
      <alignment horizontal="right"/>
    </xf>
    <xf numFmtId="0" fontId="75" fillId="0" borderId="15" xfId="0" applyFont="1" applyBorder="1" applyAlignment="1">
      <alignment wrapText="1"/>
    </xf>
    <xf numFmtId="179" fontId="76" fillId="0" borderId="0" xfId="21" applyNumberFormat="1" applyFont="1"/>
    <xf numFmtId="4" fontId="77" fillId="0" borderId="0" xfId="0" applyNumberFormat="1" applyFont="1"/>
    <xf numFmtId="2" fontId="79" fillId="0" borderId="8" xfId="0" applyNumberFormat="1" applyFont="1" applyBorder="1" applyAlignment="1">
      <alignment horizontal="right"/>
    </xf>
    <xf numFmtId="0" fontId="0" fillId="6" borderId="25" xfId="0" applyFill="1" applyBorder="1"/>
    <xf numFmtId="2" fontId="79" fillId="6" borderId="28" xfId="0" applyNumberFormat="1" applyFont="1" applyFill="1" applyBorder="1" applyAlignment="1">
      <alignment horizontal="right"/>
    </xf>
    <xf numFmtId="0" fontId="71" fillId="6" borderId="25" xfId="0" applyFont="1" applyFill="1" applyBorder="1" applyAlignment="1">
      <alignment horizontal="right"/>
    </xf>
    <xf numFmtId="0" fontId="71" fillId="6" borderId="28" xfId="0" applyFont="1" applyFill="1" applyBorder="1" applyAlignment="1">
      <alignment horizontal="right"/>
    </xf>
    <xf numFmtId="0" fontId="72" fillId="6" borderId="25" xfId="0" applyFont="1" applyFill="1" applyBorder="1" applyAlignment="1">
      <alignment horizontal="right"/>
    </xf>
    <xf numFmtId="179" fontId="73" fillId="6" borderId="28" xfId="0" applyNumberFormat="1" applyFont="1" applyFill="1" applyBorder="1"/>
    <xf numFmtId="0" fontId="23" fillId="6" borderId="26" xfId="0" applyFont="1" applyFill="1" applyBorder="1"/>
    <xf numFmtId="177" fontId="1" fillId="0" borderId="0" xfId="0" applyNumberFormat="1" applyFont="1" applyFill="1"/>
    <xf numFmtId="0" fontId="0" fillId="0" borderId="0" xfId="0" applyFont="1" applyFill="1"/>
    <xf numFmtId="176" fontId="0" fillId="0" borderId="0" xfId="0" applyNumberFormat="1" applyFont="1" applyFill="1"/>
    <xf numFmtId="2" fontId="76" fillId="6" borderId="29" xfId="0" applyNumberFormat="1" applyFont="1" applyFill="1" applyBorder="1"/>
    <xf numFmtId="2" fontId="0" fillId="0" borderId="0" xfId="0" applyNumberFormat="1"/>
    <xf numFmtId="176" fontId="0" fillId="0" borderId="0" xfId="0" applyNumberFormat="1"/>
    <xf numFmtId="0" fontId="83" fillId="0" borderId="0" xfId="0" applyFont="1"/>
    <xf numFmtId="0" fontId="25" fillId="0" borderId="0" xfId="0" applyFont="1"/>
    <xf numFmtId="182" fontId="6" fillId="3" borderId="0" xfId="0" applyNumberFormat="1" applyFont="1" applyFill="1" applyBorder="1" applyAlignment="1"/>
    <xf numFmtId="182" fontId="6" fillId="6" borderId="0" xfId="0" applyNumberFormat="1" applyFont="1" applyFill="1" applyBorder="1" applyAlignment="1"/>
    <xf numFmtId="182" fontId="0" fillId="6" borderId="0" xfId="0" applyNumberFormat="1" applyFill="1" applyBorder="1" applyAlignment="1"/>
    <xf numFmtId="182" fontId="0" fillId="3" borderId="0" xfId="0" applyNumberFormat="1" applyFill="1" applyBorder="1" applyAlignment="1"/>
    <xf numFmtId="0" fontId="89" fillId="0" borderId="0" xfId="0" applyFont="1" applyFill="1"/>
    <xf numFmtId="182" fontId="47" fillId="3" borderId="6" xfId="0" applyNumberFormat="1" applyFont="1" applyFill="1" applyBorder="1" applyAlignment="1">
      <alignment horizontal="right"/>
    </xf>
    <xf numFmtId="182" fontId="47" fillId="3" borderId="7" xfId="0" applyNumberFormat="1" applyFont="1" applyFill="1" applyBorder="1" applyAlignment="1">
      <alignment horizontal="right"/>
    </xf>
    <xf numFmtId="182" fontId="56" fillId="3" borderId="7" xfId="0" applyNumberFormat="1" applyFont="1" applyFill="1" applyBorder="1" applyAlignment="1">
      <alignment horizontal="right"/>
    </xf>
    <xf numFmtId="182" fontId="40" fillId="3" borderId="7" xfId="0" applyNumberFormat="1" applyFont="1" applyFill="1" applyBorder="1" applyAlignment="1">
      <alignment horizontal="right"/>
    </xf>
    <xf numFmtId="180" fontId="47" fillId="0" borderId="0" xfId="0" applyNumberFormat="1" applyFont="1" applyAlignment="1">
      <alignment horizontal="right"/>
    </xf>
    <xf numFmtId="0" fontId="81" fillId="0" borderId="0" xfId="0" applyFont="1" applyAlignment="1">
      <alignment horizontal="left"/>
    </xf>
    <xf numFmtId="0" fontId="41" fillId="0" borderId="3" xfId="0" applyFont="1" applyBorder="1" applyAlignment="1">
      <alignment horizontal="center" wrapText="1"/>
    </xf>
    <xf numFmtId="0" fontId="41" fillId="0" borderId="30" xfId="0" applyFont="1" applyBorder="1" applyAlignment="1">
      <alignment horizontal="center" wrapText="1"/>
    </xf>
    <xf numFmtId="0" fontId="41" fillId="0" borderId="2" xfId="0" applyFont="1" applyBorder="1" applyAlignment="1">
      <alignment horizontal="center" wrapText="1"/>
    </xf>
    <xf numFmtId="0" fontId="41" fillId="0" borderId="31" xfId="0" applyFont="1" applyBorder="1" applyAlignment="1">
      <alignment horizontal="center" wrapText="1"/>
    </xf>
    <xf numFmtId="179" fontId="42" fillId="0" borderId="4" xfId="21" applyNumberFormat="1" applyFont="1" applyBorder="1" applyAlignment="1">
      <alignment horizontal="center"/>
    </xf>
    <xf numFmtId="179" fontId="42" fillId="0" borderId="32" xfId="21" applyNumberFormat="1" applyFont="1" applyBorder="1" applyAlignment="1">
      <alignment horizontal="center"/>
    </xf>
    <xf numFmtId="0" fontId="33" fillId="0" borderId="0" xfId="0" applyFont="1" applyAlignment="1">
      <alignment horizontal="center"/>
    </xf>
    <xf numFmtId="0" fontId="43" fillId="3" borderId="0" xfId="0" applyFont="1" applyFill="1"/>
    <xf numFmtId="0" fontId="43" fillId="3" borderId="0" xfId="0" applyFont="1" applyFill="1" applyAlignment="1">
      <alignment horizontal="left"/>
    </xf>
    <xf numFmtId="0" fontId="0" fillId="4" borderId="13" xfId="0" applyFill="1" applyBorder="1"/>
    <xf numFmtId="0" fontId="0" fillId="4" borderId="0" xfId="0" applyFill="1" applyBorder="1"/>
    <xf numFmtId="0" fontId="67" fillId="0" borderId="9" xfId="0" applyFont="1" applyBorder="1" applyAlignment="1">
      <alignment horizontal="right"/>
    </xf>
    <xf numFmtId="0" fontId="68" fillId="0" borderId="9" xfId="0" applyFont="1" applyBorder="1" applyAlignment="1">
      <alignment horizontal="right"/>
    </xf>
    <xf numFmtId="4" fontId="7" fillId="0" borderId="0" xfId="0" applyNumberFormat="1" applyFont="1" applyAlignment="1">
      <alignment horizontal="left"/>
    </xf>
    <xf numFmtId="4" fontId="80" fillId="0" borderId="0" xfId="0" applyNumberFormat="1" applyFont="1" applyAlignment="1">
      <alignment horizontal="left"/>
    </xf>
    <xf numFmtId="4" fontId="10" fillId="7" borderId="18" xfId="0" applyNumberFormat="1" applyFont="1" applyFill="1" applyBorder="1" applyAlignment="1">
      <alignment horizontal="left"/>
    </xf>
    <xf numFmtId="4" fontId="69" fillId="7" borderId="19" xfId="0" applyNumberFormat="1" applyFont="1" applyFill="1" applyBorder="1" applyAlignment="1">
      <alignment horizontal="left"/>
    </xf>
    <xf numFmtId="0" fontId="0" fillId="4" borderId="13" xfId="0" applyFill="1" applyBorder="1" applyAlignment="1">
      <alignment horizontal="left"/>
    </xf>
    <xf numFmtId="0" fontId="0" fillId="4" borderId="0" xfId="0" applyFill="1" applyBorder="1" applyAlignment="1">
      <alignment horizontal="left"/>
    </xf>
    <xf numFmtId="0" fontId="78" fillId="9" borderId="24" xfId="0" applyFont="1" applyFill="1" applyBorder="1" applyAlignment="1">
      <alignment horizontal="left"/>
    </xf>
    <xf numFmtId="0" fontId="78" fillId="9" borderId="27" xfId="0" applyFont="1" applyFill="1" applyBorder="1" applyAlignment="1">
      <alignment horizontal="left"/>
    </xf>
    <xf numFmtId="4" fontId="70" fillId="8" borderId="20" xfId="0" applyNumberFormat="1" applyFont="1" applyFill="1" applyBorder="1" applyAlignment="1">
      <alignment horizontal="left"/>
    </xf>
    <xf numFmtId="4" fontId="10" fillId="8" borderId="22" xfId="0" applyNumberFormat="1" applyFont="1" applyFill="1" applyBorder="1" applyAlignment="1">
      <alignment horizontal="left"/>
    </xf>
    <xf numFmtId="0" fontId="43" fillId="0" borderId="0" xfId="0" applyFont="1" applyFill="1" applyBorder="1" applyAlignment="1"/>
    <xf numFmtId="0" fontId="43" fillId="0" borderId="0" xfId="0" applyFont="1" applyFill="1" applyBorder="1" applyAlignment="1">
      <alignment wrapText="1"/>
    </xf>
    <xf numFmtId="0" fontId="43" fillId="0" borderId="0" xfId="0" applyFont="1" applyFill="1" applyBorder="1"/>
    <xf numFmtId="176" fontId="86" fillId="0" borderId="0" xfId="0" applyNumberFormat="1" applyFont="1" applyFill="1" applyBorder="1"/>
    <xf numFmtId="177" fontId="87" fillId="0" borderId="0" xfId="0" applyNumberFormat="1" applyFont="1" applyFill="1" applyBorder="1"/>
    <xf numFmtId="176" fontId="88" fillId="0" borderId="0" xfId="0" applyNumberFormat="1" applyFont="1" applyFill="1" applyBorder="1"/>
    <xf numFmtId="0" fontId="85" fillId="0" borderId="0" xfId="0" applyFont="1" applyFill="1" applyBorder="1" applyAlignment="1"/>
    <xf numFmtId="0" fontId="91" fillId="0" borderId="0" xfId="0" applyFont="1" applyFill="1"/>
    <xf numFmtId="0" fontId="92" fillId="0" borderId="0" xfId="0" applyFont="1" applyFill="1"/>
    <xf numFmtId="181" fontId="93" fillId="0" borderId="0" xfId="21" applyNumberFormat="1" applyFont="1" applyAlignment="1">
      <alignment horizontal="center"/>
    </xf>
    <xf numFmtId="180" fontId="93" fillId="0" borderId="0" xfId="21" applyNumberFormat="1" applyFont="1" applyBorder="1" applyAlignment="1">
      <alignment horizontal="center"/>
    </xf>
    <xf numFmtId="0" fontId="25" fillId="0" borderId="0" xfId="0" applyNumberFormat="1" applyFont="1"/>
  </cellXfs>
  <cellStyles count="31">
    <cellStyle name="Currency" xfId="21" builtinId="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2" builtinId="8"/>
    <cellStyle name="Normal" xfId="0" builtinId="0"/>
  </cellStyles>
  <dxfs count="7">
    <dxf>
      <font>
        <color theme="1" tint="0.34998626667073579"/>
      </font>
    </dxf>
    <dxf>
      <font>
        <color theme="8" tint="-0.24994659260841701"/>
      </font>
      <fill>
        <patternFill>
          <bgColor theme="8" tint="0.79998168889431442"/>
        </patternFill>
      </fill>
    </dxf>
    <dxf>
      <font>
        <color theme="0" tint="-0.24994659260841701"/>
      </font>
    </dxf>
    <dxf>
      <font>
        <color theme="5" tint="-0.499984740745262"/>
      </font>
      <fill>
        <patternFill>
          <bgColor theme="9" tint="0.79998168889431442"/>
        </patternFill>
      </fill>
      <border>
        <left/>
        <right/>
        <top/>
        <bottom/>
      </border>
    </dxf>
    <dxf>
      <font>
        <color theme="2" tint="-0.749961851863155"/>
      </font>
      <fill>
        <patternFill>
          <bgColor theme="2"/>
        </patternFill>
      </fill>
    </dxf>
    <dxf>
      <font>
        <color theme="8" tint="-0.24994659260841701"/>
      </font>
      <fill>
        <patternFill>
          <bgColor rgb="FFD5F9F8"/>
        </patternFill>
      </fill>
    </dxf>
    <dxf>
      <font>
        <color theme="8" tint="-0.24994659260841701"/>
      </font>
      <fill>
        <patternFill>
          <bgColor theme="0" tint="-4.9989318521683403E-2"/>
        </patternFill>
      </fill>
    </dxf>
  </dxfs>
  <tableStyles count="0" defaultTableStyle="TableStyleMedium2" defaultPivotStyle="PivotStyleLight16"/>
  <colors>
    <mruColors>
      <color rgb="FFFF7C80"/>
      <color rgb="FFC0C0C0"/>
      <color rgb="FFDDDDDD"/>
      <color rgb="FF236B47"/>
      <color rgb="FFFFFF99"/>
      <color rgb="FFFFCCCC"/>
      <color rgb="FFCC0066"/>
      <color rgb="FFD5F9F8"/>
      <color rgb="FF9148C8"/>
      <color rgb="FF3399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175260</xdr:colOff>
          <xdr:row>3</xdr:row>
          <xdr:rowOff>91440</xdr:rowOff>
        </xdr:from>
        <xdr:to>
          <xdr:col>3</xdr:col>
          <xdr:colOff>327660</xdr:colOff>
          <xdr:row>7</xdr:row>
          <xdr:rowOff>76200</xdr:rowOff>
        </xdr:to>
        <xdr:sp macro="" textlink="">
          <xdr:nvSpPr>
            <xdr:cNvPr id="163841" name="Button 1" hidden="1">
              <a:extLst>
                <a:ext uri="{63B3BB69-23CF-44E3-9099-C40C66FF867C}">
                  <a14:compatExt spid="_x0000_s163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ko-KR" altLang="en-US" sz="1400" b="0" i="0" u="none" strike="noStrike" baseline="0">
                  <a:solidFill>
                    <a:srgbClr val="236B47"/>
                  </a:solidFill>
                  <a:latin typeface="Century Gothic"/>
                </a:rPr>
                <a:t>Start New Sheet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660400</xdr:colOff>
      <xdr:row>7</xdr:row>
      <xdr:rowOff>7620</xdr:rowOff>
    </xdr:from>
    <xdr:to>
      <xdr:col>9</xdr:col>
      <xdr:colOff>228600</xdr:colOff>
      <xdr:row>8</xdr:row>
      <xdr:rowOff>208280</xdr:rowOff>
    </xdr:to>
    <xdr:cxnSp macro="">
      <xdr:nvCxnSpPr>
        <xdr:cNvPr id="3" name="Elbow Connector 2"/>
        <xdr:cNvCxnSpPr/>
      </xdr:nvCxnSpPr>
      <xdr:spPr>
        <a:xfrm rot="5400000">
          <a:off x="4424680" y="1684020"/>
          <a:ext cx="414020" cy="444500"/>
        </a:xfrm>
        <a:prstGeom prst="bentConnector3">
          <a:avLst>
            <a:gd name="adj1" fmla="val 50000"/>
          </a:avLst>
        </a:prstGeom>
        <a:ln>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670560</xdr:colOff>
      <xdr:row>12</xdr:row>
      <xdr:rowOff>7620</xdr:rowOff>
    </xdr:from>
    <xdr:to>
      <xdr:col>8</xdr:col>
      <xdr:colOff>670560</xdr:colOff>
      <xdr:row>13</xdr:row>
      <xdr:rowOff>0</xdr:rowOff>
    </xdr:to>
    <xdr:cxnSp macro="">
      <xdr:nvCxnSpPr>
        <xdr:cNvPr id="6" name="Straight Connector 5"/>
        <xdr:cNvCxnSpPr/>
      </xdr:nvCxnSpPr>
      <xdr:spPr>
        <a:xfrm>
          <a:off x="4297680" y="2766060"/>
          <a:ext cx="0" cy="20574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15240</xdr:colOff>
          <xdr:row>4</xdr:row>
          <xdr:rowOff>0</xdr:rowOff>
        </xdr:from>
        <xdr:to>
          <xdr:col>17</xdr:col>
          <xdr:colOff>114300</xdr:colOff>
          <xdr:row>5</xdr:row>
          <xdr:rowOff>53340</xdr:rowOff>
        </xdr:to>
        <xdr:sp macro="" textlink="">
          <xdr:nvSpPr>
            <xdr:cNvPr id="159785" name="Option Button 1" hidden="1">
              <a:extLst>
                <a:ext uri="{63B3BB69-23CF-44E3-9099-C40C66FF867C}">
                  <a14:compatExt spid="_x0000_s159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83820</xdr:rowOff>
        </xdr:from>
        <xdr:to>
          <xdr:col>20</xdr:col>
          <xdr:colOff>594360</xdr:colOff>
          <xdr:row>19</xdr:row>
          <xdr:rowOff>76200</xdr:rowOff>
        </xdr:to>
        <xdr:sp macro="" textlink="">
          <xdr:nvSpPr>
            <xdr:cNvPr id="159786" name="SubmitButton" hidden="1">
              <a:extLst>
                <a:ext uri="{63B3BB69-23CF-44E3-9099-C40C66FF867C}">
                  <a14:compatExt spid="_x0000_s1597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4</xdr:row>
          <xdr:rowOff>205740</xdr:rowOff>
        </xdr:from>
        <xdr:to>
          <xdr:col>17</xdr:col>
          <xdr:colOff>114300</xdr:colOff>
          <xdr:row>6</xdr:row>
          <xdr:rowOff>38100</xdr:rowOff>
        </xdr:to>
        <xdr:sp macro="" textlink="">
          <xdr:nvSpPr>
            <xdr:cNvPr id="159789" name="Option Button 2" hidden="1">
              <a:extLst>
                <a:ext uri="{63B3BB69-23CF-44E3-9099-C40C66FF867C}">
                  <a14:compatExt spid="_x0000_s159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5</xdr:row>
          <xdr:rowOff>195880</xdr:rowOff>
        </xdr:from>
        <xdr:to>
          <xdr:col>17</xdr:col>
          <xdr:colOff>106680</xdr:colOff>
          <xdr:row>7</xdr:row>
          <xdr:rowOff>26448</xdr:rowOff>
        </xdr:to>
        <xdr:sp macro="" textlink="">
          <xdr:nvSpPr>
            <xdr:cNvPr id="159790" name="Option Button 3" hidden="1">
              <a:extLst>
                <a:ext uri="{63B3BB69-23CF-44E3-9099-C40C66FF867C}">
                  <a14:compatExt spid="_x0000_s159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6</xdr:row>
          <xdr:rowOff>198120</xdr:rowOff>
        </xdr:from>
        <xdr:to>
          <xdr:col>17</xdr:col>
          <xdr:colOff>106680</xdr:colOff>
          <xdr:row>8</xdr:row>
          <xdr:rowOff>38100</xdr:rowOff>
        </xdr:to>
        <xdr:sp macro="" textlink="">
          <xdr:nvSpPr>
            <xdr:cNvPr id="159792" name="Option Button 4" hidden="1">
              <a:extLst>
                <a:ext uri="{63B3BB69-23CF-44E3-9099-C40C66FF867C}">
                  <a14:compatExt spid="_x0000_s159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8</xdr:row>
          <xdr:rowOff>0</xdr:rowOff>
        </xdr:from>
        <xdr:to>
          <xdr:col>17</xdr:col>
          <xdr:colOff>114300</xdr:colOff>
          <xdr:row>9</xdr:row>
          <xdr:rowOff>53340</xdr:rowOff>
        </xdr:to>
        <xdr:sp macro="" textlink="">
          <xdr:nvSpPr>
            <xdr:cNvPr id="159793" name="Option Button 5" hidden="1">
              <a:extLst>
                <a:ext uri="{63B3BB69-23CF-44E3-9099-C40C66FF867C}">
                  <a14:compatExt spid="_x0000_s159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9</xdr:row>
          <xdr:rowOff>0</xdr:rowOff>
        </xdr:from>
        <xdr:to>
          <xdr:col>17</xdr:col>
          <xdr:colOff>114300</xdr:colOff>
          <xdr:row>10</xdr:row>
          <xdr:rowOff>53340</xdr:rowOff>
        </xdr:to>
        <xdr:sp macro="" textlink="">
          <xdr:nvSpPr>
            <xdr:cNvPr id="159794" name="Option Button 6" hidden="1">
              <a:extLst>
                <a:ext uri="{63B3BB69-23CF-44E3-9099-C40C66FF867C}">
                  <a14:compatExt spid="_x0000_s159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0</xdr:rowOff>
        </xdr:from>
        <xdr:to>
          <xdr:col>17</xdr:col>
          <xdr:colOff>114300</xdr:colOff>
          <xdr:row>11</xdr:row>
          <xdr:rowOff>53340</xdr:rowOff>
        </xdr:to>
        <xdr:sp macro="" textlink="">
          <xdr:nvSpPr>
            <xdr:cNvPr id="159795" name="Option Button 7" hidden="1">
              <a:extLst>
                <a:ext uri="{63B3BB69-23CF-44E3-9099-C40C66FF867C}">
                  <a14:compatExt spid="_x0000_s159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0</xdr:rowOff>
        </xdr:from>
        <xdr:to>
          <xdr:col>17</xdr:col>
          <xdr:colOff>114300</xdr:colOff>
          <xdr:row>12</xdr:row>
          <xdr:rowOff>53340</xdr:rowOff>
        </xdr:to>
        <xdr:sp macro="" textlink="">
          <xdr:nvSpPr>
            <xdr:cNvPr id="159797" name="Option Button 8" hidden="1">
              <a:extLst>
                <a:ext uri="{63B3BB69-23CF-44E3-9099-C40C66FF867C}">
                  <a14:compatExt spid="_x0000_s159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198120</xdr:rowOff>
        </xdr:from>
        <xdr:to>
          <xdr:col>17</xdr:col>
          <xdr:colOff>114300</xdr:colOff>
          <xdr:row>13</xdr:row>
          <xdr:rowOff>38100</xdr:rowOff>
        </xdr:to>
        <xdr:sp macro="" textlink="">
          <xdr:nvSpPr>
            <xdr:cNvPr id="159798" name="Option Button 9" hidden="1">
              <a:extLst>
                <a:ext uri="{63B3BB69-23CF-44E3-9099-C40C66FF867C}">
                  <a14:compatExt spid="_x0000_s159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10758</xdr:colOff>
          <xdr:row>12</xdr:row>
          <xdr:rowOff>196776</xdr:rowOff>
        </xdr:from>
        <xdr:to>
          <xdr:col>17</xdr:col>
          <xdr:colOff>109818</xdr:colOff>
          <xdr:row>14</xdr:row>
          <xdr:rowOff>36756</xdr:rowOff>
        </xdr:to>
        <xdr:sp macro="" textlink="">
          <xdr:nvSpPr>
            <xdr:cNvPr id="159799" name="Option Button 10" hidden="1">
              <a:extLst>
                <a:ext uri="{63B3BB69-23CF-44E3-9099-C40C66FF867C}">
                  <a14:compatExt spid="_x0000_s159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13</xdr:row>
          <xdr:rowOff>194310</xdr:rowOff>
        </xdr:from>
        <xdr:to>
          <xdr:col>17</xdr:col>
          <xdr:colOff>106680</xdr:colOff>
          <xdr:row>15</xdr:row>
          <xdr:rowOff>34290</xdr:rowOff>
        </xdr:to>
        <xdr:sp macro="" textlink="">
          <xdr:nvSpPr>
            <xdr:cNvPr id="159800" name="Option Button 11" hidden="1">
              <a:extLst>
                <a:ext uri="{63B3BB69-23CF-44E3-9099-C40C66FF867C}">
                  <a14:compatExt spid="_x0000_s159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14</xdr:row>
          <xdr:rowOff>198120</xdr:rowOff>
        </xdr:from>
        <xdr:to>
          <xdr:col>17</xdr:col>
          <xdr:colOff>106680</xdr:colOff>
          <xdr:row>16</xdr:row>
          <xdr:rowOff>38100</xdr:rowOff>
        </xdr:to>
        <xdr:sp macro="" textlink="">
          <xdr:nvSpPr>
            <xdr:cNvPr id="159801" name="Option Button 12" hidden="1">
              <a:extLst>
                <a:ext uri="{63B3BB69-23CF-44E3-9099-C40C66FF867C}">
                  <a14:compatExt spid="_x0000_s159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15</xdr:row>
          <xdr:rowOff>198120</xdr:rowOff>
        </xdr:from>
        <xdr:to>
          <xdr:col>17</xdr:col>
          <xdr:colOff>114300</xdr:colOff>
          <xdr:row>17</xdr:row>
          <xdr:rowOff>38100</xdr:rowOff>
        </xdr:to>
        <xdr:sp macro="" textlink="">
          <xdr:nvSpPr>
            <xdr:cNvPr id="159802" name="Option Button 13" hidden="1">
              <a:extLst>
                <a:ext uri="{63B3BB69-23CF-44E3-9099-C40C66FF867C}">
                  <a14:compatExt spid="_x0000_s159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16</xdr:row>
          <xdr:rowOff>201930</xdr:rowOff>
        </xdr:from>
        <xdr:to>
          <xdr:col>17</xdr:col>
          <xdr:colOff>114300</xdr:colOff>
          <xdr:row>18</xdr:row>
          <xdr:rowOff>41910</xdr:rowOff>
        </xdr:to>
        <xdr:sp macro="" textlink="">
          <xdr:nvSpPr>
            <xdr:cNvPr id="159803" name="Option Button 14" hidden="1">
              <a:extLst>
                <a:ext uri="{63B3BB69-23CF-44E3-9099-C40C66FF867C}">
                  <a14:compatExt spid="_x0000_s159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17</xdr:row>
          <xdr:rowOff>198120</xdr:rowOff>
        </xdr:from>
        <xdr:to>
          <xdr:col>17</xdr:col>
          <xdr:colOff>114300</xdr:colOff>
          <xdr:row>19</xdr:row>
          <xdr:rowOff>38100</xdr:rowOff>
        </xdr:to>
        <xdr:sp macro="" textlink="">
          <xdr:nvSpPr>
            <xdr:cNvPr id="159804" name="Option Button 15" hidden="1">
              <a:extLst>
                <a:ext uri="{63B3BB69-23CF-44E3-9099-C40C66FF867C}">
                  <a14:compatExt spid="_x0000_s159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18</xdr:row>
          <xdr:rowOff>190500</xdr:rowOff>
        </xdr:from>
        <xdr:to>
          <xdr:col>17</xdr:col>
          <xdr:colOff>114300</xdr:colOff>
          <xdr:row>20</xdr:row>
          <xdr:rowOff>30480</xdr:rowOff>
        </xdr:to>
        <xdr:sp macro="" textlink="">
          <xdr:nvSpPr>
            <xdr:cNvPr id="159805" name="Option Button 16" hidden="1">
              <a:extLst>
                <a:ext uri="{63B3BB69-23CF-44E3-9099-C40C66FF867C}">
                  <a14:compatExt spid="_x0000_s159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19</xdr:row>
          <xdr:rowOff>205740</xdr:rowOff>
        </xdr:from>
        <xdr:to>
          <xdr:col>17</xdr:col>
          <xdr:colOff>114300</xdr:colOff>
          <xdr:row>21</xdr:row>
          <xdr:rowOff>45720</xdr:rowOff>
        </xdr:to>
        <xdr:sp macro="" textlink="">
          <xdr:nvSpPr>
            <xdr:cNvPr id="159806" name="Option Button 17" hidden="1">
              <a:extLst>
                <a:ext uri="{63B3BB69-23CF-44E3-9099-C40C66FF867C}">
                  <a14:compatExt spid="_x0000_s159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20</xdr:row>
          <xdr:rowOff>205740</xdr:rowOff>
        </xdr:from>
        <xdr:to>
          <xdr:col>17</xdr:col>
          <xdr:colOff>114300</xdr:colOff>
          <xdr:row>22</xdr:row>
          <xdr:rowOff>45720</xdr:rowOff>
        </xdr:to>
        <xdr:sp macro="" textlink="">
          <xdr:nvSpPr>
            <xdr:cNvPr id="159807" name="Option Button 18" hidden="1">
              <a:extLst>
                <a:ext uri="{63B3BB69-23CF-44E3-9099-C40C66FF867C}">
                  <a14:compatExt spid="_x0000_s159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21</xdr:row>
          <xdr:rowOff>198120</xdr:rowOff>
        </xdr:from>
        <xdr:to>
          <xdr:col>17</xdr:col>
          <xdr:colOff>114300</xdr:colOff>
          <xdr:row>23</xdr:row>
          <xdr:rowOff>38100</xdr:rowOff>
        </xdr:to>
        <xdr:sp macro="" textlink="">
          <xdr:nvSpPr>
            <xdr:cNvPr id="159808" name="Option Button 19" hidden="1">
              <a:extLst>
                <a:ext uri="{63B3BB69-23CF-44E3-9099-C40C66FF867C}">
                  <a14:compatExt spid="_x0000_s159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22</xdr:row>
          <xdr:rowOff>198120</xdr:rowOff>
        </xdr:from>
        <xdr:to>
          <xdr:col>17</xdr:col>
          <xdr:colOff>114300</xdr:colOff>
          <xdr:row>24</xdr:row>
          <xdr:rowOff>38100</xdr:rowOff>
        </xdr:to>
        <xdr:sp macro="" textlink="">
          <xdr:nvSpPr>
            <xdr:cNvPr id="159809" name="Option Button 20" hidden="1">
              <a:extLst>
                <a:ext uri="{63B3BB69-23CF-44E3-9099-C40C66FF867C}">
                  <a14:compatExt spid="_x0000_s159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23</xdr:row>
          <xdr:rowOff>198120</xdr:rowOff>
        </xdr:from>
        <xdr:to>
          <xdr:col>17</xdr:col>
          <xdr:colOff>114300</xdr:colOff>
          <xdr:row>25</xdr:row>
          <xdr:rowOff>38100</xdr:rowOff>
        </xdr:to>
        <xdr:sp macro="" textlink="">
          <xdr:nvSpPr>
            <xdr:cNvPr id="159810" name="Option Button 21" hidden="1">
              <a:extLst>
                <a:ext uri="{63B3BB69-23CF-44E3-9099-C40C66FF867C}">
                  <a14:compatExt spid="_x0000_s159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24</xdr:row>
          <xdr:rowOff>198120</xdr:rowOff>
        </xdr:from>
        <xdr:to>
          <xdr:col>17</xdr:col>
          <xdr:colOff>114300</xdr:colOff>
          <xdr:row>26</xdr:row>
          <xdr:rowOff>38100</xdr:rowOff>
        </xdr:to>
        <xdr:sp macro="" textlink="">
          <xdr:nvSpPr>
            <xdr:cNvPr id="159811" name="Option Button 22" hidden="1">
              <a:extLst>
                <a:ext uri="{63B3BB69-23CF-44E3-9099-C40C66FF867C}">
                  <a14:compatExt spid="_x0000_s159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25</xdr:row>
          <xdr:rowOff>198120</xdr:rowOff>
        </xdr:from>
        <xdr:to>
          <xdr:col>17</xdr:col>
          <xdr:colOff>114300</xdr:colOff>
          <xdr:row>27</xdr:row>
          <xdr:rowOff>38100</xdr:rowOff>
        </xdr:to>
        <xdr:sp macro="" textlink="">
          <xdr:nvSpPr>
            <xdr:cNvPr id="159812" name="Option Button 23" hidden="1">
              <a:extLst>
                <a:ext uri="{63B3BB69-23CF-44E3-9099-C40C66FF867C}">
                  <a14:compatExt spid="_x0000_s159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26</xdr:row>
          <xdr:rowOff>198120</xdr:rowOff>
        </xdr:from>
        <xdr:to>
          <xdr:col>17</xdr:col>
          <xdr:colOff>114300</xdr:colOff>
          <xdr:row>28</xdr:row>
          <xdr:rowOff>38100</xdr:rowOff>
        </xdr:to>
        <xdr:sp macro="" textlink="">
          <xdr:nvSpPr>
            <xdr:cNvPr id="159813" name="Option Button 24" hidden="1">
              <a:extLst>
                <a:ext uri="{63B3BB69-23CF-44E3-9099-C40C66FF867C}">
                  <a14:compatExt spid="_x0000_s159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27</xdr:row>
          <xdr:rowOff>190500</xdr:rowOff>
        </xdr:from>
        <xdr:to>
          <xdr:col>17</xdr:col>
          <xdr:colOff>114300</xdr:colOff>
          <xdr:row>29</xdr:row>
          <xdr:rowOff>30480</xdr:rowOff>
        </xdr:to>
        <xdr:sp macro="" textlink="">
          <xdr:nvSpPr>
            <xdr:cNvPr id="159814" name="Option Button 25" hidden="1">
              <a:extLst>
                <a:ext uri="{63B3BB69-23CF-44E3-9099-C40C66FF867C}">
                  <a14:compatExt spid="_x0000_s159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28</xdr:row>
          <xdr:rowOff>205740</xdr:rowOff>
        </xdr:from>
        <xdr:to>
          <xdr:col>17</xdr:col>
          <xdr:colOff>114300</xdr:colOff>
          <xdr:row>30</xdr:row>
          <xdr:rowOff>45720</xdr:rowOff>
        </xdr:to>
        <xdr:sp macro="" textlink="">
          <xdr:nvSpPr>
            <xdr:cNvPr id="159815" name="Option Button 26" hidden="1">
              <a:extLst>
                <a:ext uri="{63B3BB69-23CF-44E3-9099-C40C66FF867C}">
                  <a14:compatExt spid="_x0000_s159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29</xdr:row>
          <xdr:rowOff>205740</xdr:rowOff>
        </xdr:from>
        <xdr:to>
          <xdr:col>17</xdr:col>
          <xdr:colOff>114300</xdr:colOff>
          <xdr:row>31</xdr:row>
          <xdr:rowOff>45720</xdr:rowOff>
        </xdr:to>
        <xdr:sp macro="" textlink="">
          <xdr:nvSpPr>
            <xdr:cNvPr id="159816" name="Option Button 27" hidden="1">
              <a:extLst>
                <a:ext uri="{63B3BB69-23CF-44E3-9099-C40C66FF867C}">
                  <a14:compatExt spid="_x0000_s159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30</xdr:row>
          <xdr:rowOff>198120</xdr:rowOff>
        </xdr:from>
        <xdr:to>
          <xdr:col>17</xdr:col>
          <xdr:colOff>114300</xdr:colOff>
          <xdr:row>32</xdr:row>
          <xdr:rowOff>38100</xdr:rowOff>
        </xdr:to>
        <xdr:sp macro="" textlink="">
          <xdr:nvSpPr>
            <xdr:cNvPr id="159817" name="Option Button 28" hidden="1">
              <a:extLst>
                <a:ext uri="{63B3BB69-23CF-44E3-9099-C40C66FF867C}">
                  <a14:compatExt spid="_x0000_s159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31</xdr:row>
          <xdr:rowOff>190500</xdr:rowOff>
        </xdr:from>
        <xdr:to>
          <xdr:col>17</xdr:col>
          <xdr:colOff>114300</xdr:colOff>
          <xdr:row>33</xdr:row>
          <xdr:rowOff>30480</xdr:rowOff>
        </xdr:to>
        <xdr:sp macro="" textlink="">
          <xdr:nvSpPr>
            <xdr:cNvPr id="159818" name="Option Button 29" hidden="1">
              <a:extLst>
                <a:ext uri="{63B3BB69-23CF-44E3-9099-C40C66FF867C}">
                  <a14:compatExt spid="_x0000_s159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32</xdr:row>
          <xdr:rowOff>190500</xdr:rowOff>
        </xdr:from>
        <xdr:to>
          <xdr:col>17</xdr:col>
          <xdr:colOff>114300</xdr:colOff>
          <xdr:row>34</xdr:row>
          <xdr:rowOff>30480</xdr:rowOff>
        </xdr:to>
        <xdr:sp macro="" textlink="">
          <xdr:nvSpPr>
            <xdr:cNvPr id="159819" name="Option Button 30" hidden="1">
              <a:extLst>
                <a:ext uri="{63B3BB69-23CF-44E3-9099-C40C66FF867C}">
                  <a14:compatExt spid="_x0000_s159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33</xdr:row>
          <xdr:rowOff>190500</xdr:rowOff>
        </xdr:from>
        <xdr:to>
          <xdr:col>17</xdr:col>
          <xdr:colOff>114300</xdr:colOff>
          <xdr:row>35</xdr:row>
          <xdr:rowOff>30480</xdr:rowOff>
        </xdr:to>
        <xdr:sp macro="" textlink="">
          <xdr:nvSpPr>
            <xdr:cNvPr id="159820" name="Option Button 31" hidden="1">
              <a:extLst>
                <a:ext uri="{63B3BB69-23CF-44E3-9099-C40C66FF867C}">
                  <a14:compatExt spid="_x0000_s159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640080</xdr:colOff>
          <xdr:row>17</xdr:row>
          <xdr:rowOff>91440</xdr:rowOff>
        </xdr:from>
        <xdr:to>
          <xdr:col>22</xdr:col>
          <xdr:colOff>106680</xdr:colOff>
          <xdr:row>19</xdr:row>
          <xdr:rowOff>83820</xdr:rowOff>
        </xdr:to>
        <xdr:sp macro="" textlink="">
          <xdr:nvSpPr>
            <xdr:cNvPr id="159946" name="SubmitButton" hidden="1">
              <a:extLst>
                <a:ext uri="{63B3BB69-23CF-44E3-9099-C40C66FF867C}">
                  <a14:compatExt spid="_x0000_s1599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Clear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sandcubed@gmail.com" TargetMode="External"/><Relationship Id="rId1" Type="http://schemas.openxmlformats.org/officeDocument/2006/relationships/hyperlink" Target="https://github.com/blacksandbox/money-buffer"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H9"/>
  <sheetViews>
    <sheetView workbookViewId="0">
      <selection activeCell="E13" sqref="E13"/>
    </sheetView>
  </sheetViews>
  <sheetFormatPr defaultColWidth="11.19921875" defaultRowHeight="17.399999999999999"/>
  <sheetData>
    <row r="2" spans="2:8" ht="23.4">
      <c r="B2" s="69" t="s">
        <v>68</v>
      </c>
      <c r="E2" t="s">
        <v>109</v>
      </c>
    </row>
    <row r="3" spans="2:8" ht="4.95" customHeight="1">
      <c r="B3" s="70"/>
      <c r="C3" s="71"/>
      <c r="D3" s="71"/>
      <c r="E3" s="71"/>
    </row>
    <row r="5" spans="2:8" ht="21.6">
      <c r="B5" s="66" t="s">
        <v>67</v>
      </c>
      <c r="F5" s="66" t="s">
        <v>62</v>
      </c>
      <c r="H5" s="64"/>
    </row>
    <row r="6" spans="2:8">
      <c r="B6" s="65" t="s">
        <v>64</v>
      </c>
      <c r="F6" s="67" t="s">
        <v>63</v>
      </c>
      <c r="H6" s="64"/>
    </row>
    <row r="8" spans="2:8">
      <c r="B8" s="68" t="s">
        <v>65</v>
      </c>
    </row>
    <row r="9" spans="2:8">
      <c r="B9" s="68" t="s">
        <v>66</v>
      </c>
    </row>
  </sheetData>
  <phoneticPr fontId="14" type="noConversion"/>
  <hyperlinks>
    <hyperlink ref="F6" r:id="rId1"/>
    <hyperlink ref="B6"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H38"/>
  <sheetViews>
    <sheetView workbookViewId="0">
      <selection activeCell="E15" sqref="E15"/>
    </sheetView>
  </sheetViews>
  <sheetFormatPr defaultColWidth="8.796875" defaultRowHeight="17.399999999999999"/>
  <cols>
    <col min="2" max="2" width="13.296875" customWidth="1"/>
    <col min="3" max="3" width="10.19921875" customWidth="1"/>
    <col min="4" max="4" width="11" customWidth="1"/>
  </cols>
  <sheetData>
    <row r="2" spans="2:3" ht="25.05" customHeight="1">
      <c r="B2" s="113" t="s">
        <v>92</v>
      </c>
      <c r="C2" s="113"/>
    </row>
    <row r="18" spans="2:8" ht="25.2">
      <c r="B18" s="113" t="s">
        <v>91</v>
      </c>
      <c r="C18" s="113"/>
    </row>
    <row r="20" spans="2:8">
      <c r="B20" s="1" t="s">
        <v>19</v>
      </c>
      <c r="C20" s="15" t="s">
        <v>18</v>
      </c>
      <c r="D20" s="1" t="s">
        <v>25</v>
      </c>
      <c r="E20" s="1" t="s">
        <v>28</v>
      </c>
      <c r="F20" s="1" t="s">
        <v>31</v>
      </c>
      <c r="H20" t="s">
        <v>53</v>
      </c>
    </row>
    <row r="21" spans="2:8">
      <c r="B21">
        <v>1</v>
      </c>
      <c r="C21">
        <v>31</v>
      </c>
      <c r="D21" t="s">
        <v>26</v>
      </c>
      <c r="E21">
        <v>1</v>
      </c>
      <c r="H21" t="s">
        <v>36</v>
      </c>
    </row>
    <row r="22" spans="2:8">
      <c r="B22">
        <v>2</v>
      </c>
      <c r="C22">
        <v>28</v>
      </c>
      <c r="D22" t="s">
        <v>27</v>
      </c>
      <c r="E22">
        <v>0</v>
      </c>
      <c r="F22" s="50" t="s">
        <v>38</v>
      </c>
    </row>
    <row r="23" spans="2:8">
      <c r="B23">
        <v>3</v>
      </c>
      <c r="C23">
        <v>31</v>
      </c>
      <c r="E23">
        <v>-1</v>
      </c>
      <c r="F23" s="51" t="s">
        <v>37</v>
      </c>
    </row>
    <row r="24" spans="2:8" ht="19.2">
      <c r="B24">
        <v>4</v>
      </c>
      <c r="C24">
        <v>30</v>
      </c>
      <c r="F24" s="52" t="s">
        <v>46</v>
      </c>
      <c r="H24" t="s">
        <v>45</v>
      </c>
    </row>
    <row r="25" spans="2:8" ht="19.2">
      <c r="B25">
        <v>5</v>
      </c>
      <c r="C25">
        <v>31</v>
      </c>
      <c r="F25" s="52" t="s">
        <v>47</v>
      </c>
    </row>
    <row r="26" spans="2:8">
      <c r="B26">
        <v>6</v>
      </c>
      <c r="C26">
        <v>30</v>
      </c>
      <c r="F26" s="50" t="s">
        <v>48</v>
      </c>
    </row>
    <row r="27" spans="2:8">
      <c r="B27">
        <v>7</v>
      </c>
      <c r="C27">
        <v>31</v>
      </c>
      <c r="F27" s="50" t="s">
        <v>43</v>
      </c>
    </row>
    <row r="28" spans="2:8">
      <c r="B28">
        <v>8</v>
      </c>
      <c r="C28">
        <v>31</v>
      </c>
      <c r="F28" s="53" t="s">
        <v>41</v>
      </c>
    </row>
    <row r="29" spans="2:8" ht="19.2">
      <c r="B29">
        <v>9</v>
      </c>
      <c r="C29">
        <v>30</v>
      </c>
      <c r="F29" s="52" t="s">
        <v>44</v>
      </c>
    </row>
    <row r="30" spans="2:8" ht="19.2">
      <c r="B30">
        <v>10</v>
      </c>
      <c r="C30">
        <v>31</v>
      </c>
      <c r="F30" s="54" t="s">
        <v>51</v>
      </c>
    </row>
    <row r="31" spans="2:8" ht="19.2">
      <c r="B31">
        <v>11</v>
      </c>
      <c r="C31">
        <v>30</v>
      </c>
      <c r="F31" s="52" t="s">
        <v>39</v>
      </c>
    </row>
    <row r="32" spans="2:8" ht="19.2">
      <c r="B32">
        <v>12</v>
      </c>
      <c r="C32">
        <v>31</v>
      </c>
      <c r="F32" s="52" t="s">
        <v>40</v>
      </c>
    </row>
    <row r="33" spans="6:6" ht="19.2">
      <c r="F33" s="52" t="s">
        <v>35</v>
      </c>
    </row>
    <row r="34" spans="6:6" ht="19.2">
      <c r="F34" s="54" t="s">
        <v>42</v>
      </c>
    </row>
    <row r="35" spans="6:6" ht="19.2">
      <c r="F35" s="52" t="s">
        <v>75</v>
      </c>
    </row>
    <row r="36" spans="6:6" ht="19.2">
      <c r="F36" s="52" t="s">
        <v>49</v>
      </c>
    </row>
    <row r="37" spans="6:6" ht="19.2">
      <c r="F37" s="54" t="s">
        <v>50</v>
      </c>
    </row>
    <row r="38" spans="6:6" ht="19.2">
      <c r="F38" s="52" t="s">
        <v>52</v>
      </c>
    </row>
  </sheetData>
  <mergeCells count="2">
    <mergeCell ref="B2:C2"/>
    <mergeCell ref="B18:C18"/>
  </mergeCells>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autoFill="0" autoPict="0" macro="[0]!startNewSheet">
                <anchor moveWithCells="1" sizeWithCells="1">
                  <from>
                    <xdr:col>1</xdr:col>
                    <xdr:colOff>175260</xdr:colOff>
                    <xdr:row>3</xdr:row>
                    <xdr:rowOff>91440</xdr:rowOff>
                  </from>
                  <to>
                    <xdr:col>3</xdr:col>
                    <xdr:colOff>327660</xdr:colOff>
                    <xdr:row>7</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D38"/>
  <sheetViews>
    <sheetView tabSelected="1" zoomScaleNormal="100" workbookViewId="0">
      <selection activeCell="N12" sqref="N12"/>
    </sheetView>
  </sheetViews>
  <sheetFormatPr defaultColWidth="8.796875" defaultRowHeight="17.399999999999999"/>
  <cols>
    <col min="1" max="1" width="4" customWidth="1"/>
    <col min="2" max="2" width="4.796875" customWidth="1"/>
    <col min="3" max="3" width="4.296875" customWidth="1"/>
    <col min="4" max="4" width="3.796875" customWidth="1"/>
    <col min="5" max="5" width="10.296875" customWidth="1"/>
    <col min="6" max="6" width="9.296875" customWidth="1"/>
    <col min="7" max="7" width="3.296875" customWidth="1"/>
    <col min="8" max="8" width="7.796875" customWidth="1"/>
    <col min="9" max="9" width="11.796875" customWidth="1"/>
    <col min="10" max="10" width="10.5" customWidth="1"/>
    <col min="11" max="11" width="5.296875" customWidth="1"/>
    <col min="12" max="12" width="3.5" customWidth="1"/>
    <col min="13" max="13" width="12.19921875" customWidth="1"/>
    <col min="14" max="14" width="9.5" customWidth="1"/>
    <col min="16" max="17" width="3.796875" customWidth="1"/>
    <col min="18" max="18" width="11.69921875" customWidth="1"/>
    <col min="20" max="20" width="7.296875" customWidth="1"/>
    <col min="21" max="21" width="11.69921875" customWidth="1"/>
    <col min="30" max="30" width="6.19921875" customWidth="1"/>
  </cols>
  <sheetData>
    <row r="1" spans="1:30" ht="31.2" thickBot="1">
      <c r="C1" s="120" t="s">
        <v>30</v>
      </c>
      <c r="D1" s="120"/>
      <c r="E1" s="120"/>
      <c r="F1" s="31">
        <v>11</v>
      </c>
      <c r="G1" s="28" t="s">
        <v>20</v>
      </c>
      <c r="H1" s="32">
        <v>2017</v>
      </c>
      <c r="M1" s="34" t="s">
        <v>5</v>
      </c>
      <c r="N1" s="48" t="s">
        <v>87</v>
      </c>
      <c r="O1" s="30"/>
      <c r="P1" s="30"/>
      <c r="Q1" s="30"/>
      <c r="R1" s="86" t="s">
        <v>86</v>
      </c>
    </row>
    <row r="2" spans="1:30" ht="17.55" customHeight="1">
      <c r="M2" s="33">
        <f>VLOOKUP(F1,_controls!B21:C32,2,TRUE)</f>
        <v>30</v>
      </c>
      <c r="N2" s="44">
        <v>50</v>
      </c>
      <c r="R2" s="85">
        <f>J7-IF(ISNUMBER(J11),J11,J12)+IF(ISNUMBER(J15),J15,0)</f>
        <v>1500</v>
      </c>
      <c r="T2" s="114" t="s">
        <v>70</v>
      </c>
      <c r="U2" s="115"/>
      <c r="AB2" s="102" t="s">
        <v>94</v>
      </c>
      <c r="AC2" s="102" t="s">
        <v>108</v>
      </c>
      <c r="AD2" s="102"/>
    </row>
    <row r="3" spans="1:30" ht="17.55" customHeight="1">
      <c r="B3" s="68" t="s">
        <v>54</v>
      </c>
      <c r="C3" s="1" t="s">
        <v>74</v>
      </c>
      <c r="F3" s="1"/>
      <c r="G3" s="1"/>
      <c r="I3" s="127" t="s">
        <v>79</v>
      </c>
      <c r="J3" s="128"/>
      <c r="T3" s="116"/>
      <c r="U3" s="117"/>
      <c r="AB3" s="102">
        <v>-1</v>
      </c>
      <c r="AC3" s="148">
        <f>ROUND(R2/M2,2)</f>
        <v>50</v>
      </c>
      <c r="AD3" s="102"/>
    </row>
    <row r="4" spans="1:30" ht="16.95" customHeight="1">
      <c r="A4" s="57"/>
      <c r="B4" s="49" t="s">
        <v>26</v>
      </c>
      <c r="C4" s="75" t="str">
        <f>MonthVal&amp;"/"</f>
        <v>11/</v>
      </c>
      <c r="D4" s="62">
        <v>20</v>
      </c>
      <c r="E4" s="38" t="s">
        <v>69</v>
      </c>
      <c r="F4" s="108">
        <v>272.18</v>
      </c>
      <c r="G4" s="39">
        <v>0</v>
      </c>
      <c r="I4" s="1" t="s">
        <v>24</v>
      </c>
      <c r="J4" s="43">
        <v>4200</v>
      </c>
      <c r="L4" s="56"/>
      <c r="M4" s="36" t="s">
        <v>3</v>
      </c>
      <c r="N4" s="4" t="s">
        <v>21</v>
      </c>
      <c r="O4" s="36" t="s">
        <v>4</v>
      </c>
      <c r="P4" s="36"/>
      <c r="Q4" s="36"/>
      <c r="R4" s="37" t="s">
        <v>22</v>
      </c>
      <c r="T4" s="118">
        <f>IF(ISNUMBER(R35),R35,IF(ISNUMBER(R34),R34,IF(ISNUMBER(R33),R33,IF(ISNUMBER(R32),R32,"ERROR"))))</f>
        <v>0</v>
      </c>
      <c r="U4" s="119"/>
      <c r="AB4" s="102" t="s">
        <v>95</v>
      </c>
      <c r="AC4" s="102" t="s">
        <v>96</v>
      </c>
      <c r="AD4" s="102" t="s">
        <v>97</v>
      </c>
    </row>
    <row r="5" spans="1:30" ht="16.95" customHeight="1">
      <c r="A5" s="57"/>
      <c r="B5" s="49" t="s">
        <v>27</v>
      </c>
      <c r="C5" s="75" t="str">
        <f t="shared" ref="C5:C14" si="0">MonthVal&amp;"/"</f>
        <v>11/</v>
      </c>
      <c r="D5" s="63">
        <v>9</v>
      </c>
      <c r="E5" s="38" t="s">
        <v>1</v>
      </c>
      <c r="F5" s="109">
        <v>154.41</v>
      </c>
      <c r="G5" s="39">
        <v>0</v>
      </c>
      <c r="I5" s="35" t="s">
        <v>80</v>
      </c>
      <c r="J5" s="112" t="str">
        <f>"$"&amp;ROUND(SUM(F4:F16),2)</f>
        <v>$1913.3</v>
      </c>
      <c r="K5" s="41"/>
      <c r="L5" s="76" t="str">
        <f t="shared" ref="L5:L35" si="1">IF( AND(ISERROR(MATCH(ROW(FH1)+0,$D$4:$D$14,0))=FALSE, IF(ISERROR(MATCH(ROW(FH1)+0,$D$4:$D$14,0))=FALSE, INDEX($B$4:$B$14,MATCH(ROW(FH1)+0,$D$4:$D$14,0))="Ma",FALSE) ),"★",          IF(ISERROR(MATCH(ROW(FH1)+0,$D$19:$D$23,0))=FALSE,INDEX($B$19:$B$23,MATCH(ROW(FH1)+0,$D$19:$D$23,0)),"")         )</f>
        <v/>
      </c>
      <c r="M5" s="29">
        <f>IF(MONTH(DATE(YearVal,MonthVal,ROW(FH1)))&gt;MonthVal,"",DATE(YearVal,MonthVal,ROW(FH1)))</f>
        <v>43040</v>
      </c>
      <c r="N5" s="146" t="str">
        <f>IF(M5="","",IF(ISNUMBER(O5), "+$"&amp;MoneyBuffer, "($"&amp;SUBSTITUTE(MoneyBuffer,"+","")&amp;")"  ))</f>
        <v>($50)</v>
      </c>
      <c r="O5" s="45" t="s">
        <v>110</v>
      </c>
      <c r="P5" s="45" t="s">
        <v>103</v>
      </c>
      <c r="Q5" s="45"/>
      <c r="R5" s="40">
        <f>R2-IF(ISNUMBER(O5),O5,ABS(N5))</f>
        <v>1450</v>
      </c>
      <c r="AB5" s="102">
        <v>1</v>
      </c>
      <c r="AC5" s="102"/>
      <c r="AD5" s="102"/>
    </row>
    <row r="6" spans="1:30" ht="16.95" customHeight="1" thickBot="1">
      <c r="A6" s="57"/>
      <c r="B6" s="49" t="s">
        <v>26</v>
      </c>
      <c r="C6" s="75" t="str">
        <f t="shared" si="0"/>
        <v>11/</v>
      </c>
      <c r="D6" s="63">
        <v>15</v>
      </c>
      <c r="E6" s="38" t="s">
        <v>0</v>
      </c>
      <c r="F6" s="110">
        <v>67.89</v>
      </c>
      <c r="G6" s="39">
        <v>0</v>
      </c>
      <c r="I6" s="1" t="s">
        <v>89</v>
      </c>
      <c r="K6" s="10"/>
      <c r="L6" s="76" t="str">
        <f t="shared" si="1"/>
        <v/>
      </c>
      <c r="M6" s="29">
        <f t="shared" ref="M6:M35" si="2">IF(MONTH(DATE(YearVal,MonthVal,ROW(FH2)))&gt;MonthVal,"",DATE(YearVal,MonthVal,ROW(FH2)))</f>
        <v>43041</v>
      </c>
      <c r="N6" s="147" t="str">
        <f>IF(M6="","",IF(ISNUMBER(O6), "+$"&amp;MoneyBuffer, "($"&amp;SUBSTITUTE(MoneyBuffer,"+","")&amp;")"  ))</f>
        <v>($50)</v>
      </c>
      <c r="O6" s="46" t="s">
        <v>107</v>
      </c>
      <c r="P6" s="46"/>
      <c r="Q6" s="46"/>
      <c r="R6" s="40">
        <f>IF(M6="","",R5-IF(ISNUMBER(O6),O6,MoneyBuffer))</f>
        <v>1400</v>
      </c>
      <c r="T6" s="101" t="s">
        <v>104</v>
      </c>
      <c r="AB6" s="102">
        <v>2</v>
      </c>
      <c r="AC6" s="102"/>
      <c r="AD6" s="102"/>
    </row>
    <row r="7" spans="1:30" ht="16.95" customHeight="1">
      <c r="A7" s="57"/>
      <c r="B7" s="49" t="s">
        <v>27</v>
      </c>
      <c r="C7" s="75" t="str">
        <f t="shared" si="0"/>
        <v>11/</v>
      </c>
      <c r="D7" s="63">
        <v>27</v>
      </c>
      <c r="E7" s="38" t="s">
        <v>23</v>
      </c>
      <c r="F7" s="109">
        <v>1055</v>
      </c>
      <c r="G7" s="39">
        <v>0</v>
      </c>
      <c r="I7" s="42"/>
      <c r="J7" s="87" t="str">
        <f>"$"&amp;ROUND(J4-J5,2)</f>
        <v>$2286.7</v>
      </c>
      <c r="L7" s="76" t="str">
        <f t="shared" si="1"/>
        <v/>
      </c>
      <c r="M7" s="29">
        <f t="shared" si="2"/>
        <v>43042</v>
      </c>
      <c r="N7" s="147" t="str">
        <f>IF(M7="","",IF(ISNUMBER(O7), "+$"&amp;MoneyBuffer, "($"&amp;SUBSTITUTE(MoneyBuffer,"+","")&amp;")"  ))</f>
        <v>($50)</v>
      </c>
      <c r="O7" s="45" t="s">
        <v>107</v>
      </c>
      <c r="P7" s="45"/>
      <c r="Q7" s="45"/>
      <c r="R7" s="40">
        <f>IF(M7="","",R6-IF(ISNUMBER(O7),O7,MoneyBuffer))</f>
        <v>1350</v>
      </c>
      <c r="T7" s="144"/>
      <c r="U7" s="145"/>
      <c r="AB7" s="102">
        <v>3</v>
      </c>
      <c r="AC7" s="102"/>
      <c r="AD7" s="102"/>
    </row>
    <row r="8" spans="1:30" ht="16.95" customHeight="1">
      <c r="A8" s="57"/>
      <c r="B8" s="49" t="s">
        <v>27</v>
      </c>
      <c r="C8" s="75" t="str">
        <f t="shared" si="0"/>
        <v>11/</v>
      </c>
      <c r="D8" s="63">
        <v>25</v>
      </c>
      <c r="E8" s="38" t="s">
        <v>33</v>
      </c>
      <c r="F8" s="109">
        <v>97.5</v>
      </c>
      <c r="G8" s="39">
        <v>0</v>
      </c>
      <c r="L8" s="76" t="str">
        <f t="shared" si="1"/>
        <v/>
      </c>
      <c r="M8" s="29">
        <f t="shared" si="2"/>
        <v>43043</v>
      </c>
      <c r="N8" s="147" t="str">
        <f>IF(M8="","",IF(ISNUMBER(O8), "+$"&amp;MoneyBuffer, "($"&amp;SUBSTITUTE(MoneyBuffer,"+","")&amp;")"  ))</f>
        <v>($50)</v>
      </c>
      <c r="O8" s="46" t="s">
        <v>111</v>
      </c>
      <c r="P8" s="46"/>
      <c r="Q8" s="46"/>
      <c r="R8" s="40">
        <f>IF(M8="","",R7-IF(ISNUMBER(O8),O8,MoneyBuffer))</f>
        <v>1300</v>
      </c>
      <c r="T8" s="103"/>
      <c r="U8" s="137"/>
      <c r="V8" s="137"/>
      <c r="W8" s="137"/>
      <c r="AB8" s="102">
        <v>4</v>
      </c>
      <c r="AC8" s="102"/>
      <c r="AD8" s="102"/>
    </row>
    <row r="9" spans="1:30" ht="16.95" customHeight="1" thickBot="1">
      <c r="A9" s="57"/>
      <c r="B9" s="49" t="s">
        <v>26</v>
      </c>
      <c r="C9" s="75" t="str">
        <f t="shared" si="0"/>
        <v>11/</v>
      </c>
      <c r="D9" s="63">
        <v>18</v>
      </c>
      <c r="E9" s="38" t="s">
        <v>29</v>
      </c>
      <c r="F9" s="111">
        <v>85.65</v>
      </c>
      <c r="G9" s="39">
        <v>0</v>
      </c>
      <c r="L9" s="76" t="str">
        <f t="shared" si="1"/>
        <v/>
      </c>
      <c r="M9" s="29">
        <f t="shared" si="2"/>
        <v>43044</v>
      </c>
      <c r="N9" s="147" t="str">
        <f>IF(M9="","",IF(ISNUMBER(O9), "+$"&amp;MoneyBuffer, "($"&amp;SUBSTITUTE(MoneyBuffer,"+","")&amp;")"  ))</f>
        <v>($50)</v>
      </c>
      <c r="O9" s="45" t="s">
        <v>55</v>
      </c>
      <c r="P9" s="45"/>
      <c r="Q9" s="45"/>
      <c r="R9" s="40">
        <f>IF(M9="","",R8-IF(ISNUMBER(O9),O9,MoneyBuffer))</f>
        <v>1250</v>
      </c>
      <c r="T9" s="104"/>
      <c r="U9" s="137"/>
      <c r="V9" s="138"/>
      <c r="W9" s="138"/>
      <c r="AB9" s="102">
        <v>5</v>
      </c>
      <c r="AC9" s="102"/>
      <c r="AD9" s="102"/>
    </row>
    <row r="10" spans="1:30" ht="16.95" customHeight="1">
      <c r="A10" s="57"/>
      <c r="B10" s="49" t="s">
        <v>26</v>
      </c>
      <c r="C10" s="75" t="str">
        <f t="shared" si="0"/>
        <v>11/</v>
      </c>
      <c r="D10" s="63">
        <v>16</v>
      </c>
      <c r="E10" s="38" t="s">
        <v>2</v>
      </c>
      <c r="F10" s="109">
        <v>140</v>
      </c>
      <c r="G10" s="39">
        <v>0</v>
      </c>
      <c r="I10" s="129" t="s">
        <v>88</v>
      </c>
      <c r="J10" s="130"/>
      <c r="L10" s="76" t="str">
        <f t="shared" si="1"/>
        <v/>
      </c>
      <c r="M10" s="29">
        <f t="shared" si="2"/>
        <v>43045</v>
      </c>
      <c r="N10" s="147" t="str">
        <f>IF(M10="","",IF(ISNUMBER(O10), "+$"&amp;MoneyBuffer, "($"&amp;SUBSTITUTE(MoneyBuffer,"+","")&amp;")"  ))</f>
        <v>($50)</v>
      </c>
      <c r="O10" s="46" t="s">
        <v>101</v>
      </c>
      <c r="P10" s="46"/>
      <c r="Q10" s="46"/>
      <c r="R10" s="40">
        <f>IF(M10="","",R9-IF(ISNUMBER(O10),O10,MoneyBuffer))</f>
        <v>1200</v>
      </c>
      <c r="T10" s="103"/>
      <c r="U10" s="137"/>
      <c r="V10" s="139"/>
      <c r="W10" s="139"/>
      <c r="AB10" s="102">
        <v>6</v>
      </c>
      <c r="AC10" s="102"/>
      <c r="AD10" s="102"/>
    </row>
    <row r="11" spans="1:30" ht="16.95" customHeight="1">
      <c r="A11" s="57"/>
      <c r="B11" s="49" t="s">
        <v>26</v>
      </c>
      <c r="C11" s="75" t="str">
        <f t="shared" si="0"/>
        <v>11/</v>
      </c>
      <c r="D11" s="63">
        <v>20</v>
      </c>
      <c r="E11" s="38" t="s">
        <v>34</v>
      </c>
      <c r="F11" s="109">
        <v>11</v>
      </c>
      <c r="G11" s="39">
        <v>0</v>
      </c>
      <c r="I11" s="84" t="s">
        <v>81</v>
      </c>
      <c r="J11" s="79" t="s">
        <v>107</v>
      </c>
      <c r="K11" s="12"/>
      <c r="L11" s="76" t="str">
        <f t="shared" si="1"/>
        <v/>
      </c>
      <c r="M11" s="29">
        <f t="shared" si="2"/>
        <v>43046</v>
      </c>
      <c r="N11" s="147" t="str">
        <f>IF(M11="","",IF(ISNUMBER(O11), "+$"&amp;MoneyBuffer, "($"&amp;SUBSTITUTE(MoneyBuffer,"+","")&amp;")"  ))</f>
        <v>($50)</v>
      </c>
      <c r="O11" s="45" t="s">
        <v>100</v>
      </c>
      <c r="P11" s="45"/>
      <c r="Q11" s="45"/>
      <c r="R11" s="40">
        <f>IF(M11="","",R10-IF(ISNUMBER(O11),O11,MoneyBuffer))</f>
        <v>1150</v>
      </c>
      <c r="T11" s="104"/>
      <c r="U11" s="137"/>
      <c r="V11" s="139"/>
      <c r="W11" s="139"/>
      <c r="AB11" s="102">
        <v>7</v>
      </c>
      <c r="AC11" s="102"/>
      <c r="AD11" s="102"/>
    </row>
    <row r="12" spans="1:30" ht="16.95" customHeight="1" thickBot="1">
      <c r="A12" s="57"/>
      <c r="B12" s="49" t="s">
        <v>26</v>
      </c>
      <c r="C12" s="75" t="str">
        <f t="shared" si="0"/>
        <v>11/</v>
      </c>
      <c r="D12" s="63">
        <v>10</v>
      </c>
      <c r="E12" s="38" t="s">
        <v>32</v>
      </c>
      <c r="F12" s="109">
        <v>23</v>
      </c>
      <c r="G12" s="39">
        <v>0</v>
      </c>
      <c r="I12" s="82" t="s">
        <v>82</v>
      </c>
      <c r="J12" s="83">
        <f>(J7+IF(ISNUMBER(J15),J15,0))-(NumDays*BufferModel)</f>
        <v>786.69999999999982</v>
      </c>
      <c r="L12" s="76" t="str">
        <f t="shared" si="1"/>
        <v/>
      </c>
      <c r="M12" s="29">
        <f t="shared" si="2"/>
        <v>43047</v>
      </c>
      <c r="N12" s="147" t="str">
        <f>IF(M12="","",IF(ISNUMBER(O12), "+$"&amp;MoneyBuffer, "($"&amp;SUBSTITUTE(MoneyBuffer,"+","")&amp;")"  ))</f>
        <v>($50)</v>
      </c>
      <c r="O12" s="46" t="s">
        <v>99</v>
      </c>
      <c r="P12" s="46"/>
      <c r="Q12" s="46"/>
      <c r="R12" s="40">
        <f>IF(M12="","",R11-IF(ISNUMBER(O12),O12,MoneyBuffer))</f>
        <v>1100</v>
      </c>
      <c r="T12" s="103"/>
      <c r="U12" s="137"/>
      <c r="V12" s="139"/>
      <c r="W12" s="139"/>
      <c r="AB12" s="102">
        <v>8</v>
      </c>
      <c r="AC12" s="102"/>
      <c r="AD12" s="102"/>
    </row>
    <row r="13" spans="1:30" ht="16.95" customHeight="1" thickBot="1">
      <c r="A13" s="57"/>
      <c r="B13" s="49" t="s">
        <v>26</v>
      </c>
      <c r="C13" s="75" t="str">
        <f t="shared" si="0"/>
        <v>11/</v>
      </c>
      <c r="D13" s="63" t="s">
        <v>76</v>
      </c>
      <c r="E13" s="59" t="s">
        <v>55</v>
      </c>
      <c r="F13" s="109">
        <f>5/3</f>
        <v>1.6666666666666667</v>
      </c>
      <c r="G13" s="39">
        <v>0</v>
      </c>
      <c r="L13" s="76" t="str">
        <f t="shared" si="1"/>
        <v>★</v>
      </c>
      <c r="M13" s="29">
        <f t="shared" si="2"/>
        <v>43048</v>
      </c>
      <c r="N13" s="147" t="str">
        <f>IF(M13="","",IF(ISNUMBER(O13), "+$"&amp;MoneyBuffer, "($"&amp;SUBSTITUTE(MoneyBuffer,"+","")&amp;")"  ))</f>
        <v>($50)</v>
      </c>
      <c r="O13" s="45" t="s">
        <v>6</v>
      </c>
      <c r="P13" s="45"/>
      <c r="Q13" s="45"/>
      <c r="R13" s="40">
        <f>IF(M13="","",R12-IF(ISNUMBER(O13),O13,MoneyBuffer))</f>
        <v>1050</v>
      </c>
      <c r="T13" s="105"/>
      <c r="U13" s="137"/>
      <c r="V13" s="139"/>
      <c r="W13" s="139"/>
      <c r="AB13" s="102">
        <v>9</v>
      </c>
      <c r="AC13" s="102"/>
      <c r="AD13" s="102"/>
    </row>
    <row r="14" spans="1:30" ht="16.95" customHeight="1">
      <c r="B14" s="58" t="s">
        <v>26</v>
      </c>
      <c r="C14" s="75" t="str">
        <f t="shared" si="0"/>
        <v>11/</v>
      </c>
      <c r="D14" s="63" t="s">
        <v>55</v>
      </c>
      <c r="E14" s="38" t="s">
        <v>55</v>
      </c>
      <c r="F14" s="109">
        <v>5</v>
      </c>
      <c r="G14" s="39">
        <v>0</v>
      </c>
      <c r="I14" s="135" t="s">
        <v>85</v>
      </c>
      <c r="J14" s="136"/>
      <c r="L14" s="76" t="str">
        <f t="shared" si="1"/>
        <v/>
      </c>
      <c r="M14" s="29">
        <f t="shared" si="2"/>
        <v>43049</v>
      </c>
      <c r="N14" s="147" t="str">
        <f>IF(M14="","",IF(ISNUMBER(O14), "+$"&amp;MoneyBuffer, "($"&amp;SUBSTITUTE(MoneyBuffer,"+","")&amp;")"  ))</f>
        <v>($50)</v>
      </c>
      <c r="O14" s="46" t="s">
        <v>105</v>
      </c>
      <c r="P14" s="46"/>
      <c r="Q14" s="46"/>
      <c r="R14" s="40">
        <f>IF(M14="","",R13-IF(ISNUMBER(O14),O14,MoneyBuffer))</f>
        <v>1000</v>
      </c>
      <c r="T14" s="106"/>
      <c r="U14" s="143"/>
      <c r="V14" s="139"/>
      <c r="W14" s="139"/>
      <c r="X14" s="99"/>
      <c r="AB14" s="102">
        <v>10</v>
      </c>
      <c r="AC14" s="102"/>
      <c r="AD14" s="102"/>
    </row>
    <row r="15" spans="1:30" ht="16.95" customHeight="1" thickBot="1">
      <c r="I15" s="80" t="s">
        <v>83</v>
      </c>
      <c r="J15" s="81" t="s">
        <v>84</v>
      </c>
      <c r="L15" s="76" t="str">
        <f t="shared" si="1"/>
        <v/>
      </c>
      <c r="M15" s="29">
        <f t="shared" si="2"/>
        <v>43050</v>
      </c>
      <c r="N15" s="147" t="str">
        <f>IF(M15="","",IF(ISNUMBER(O15), "+$"&amp;MoneyBuffer, "($"&amp;SUBSTITUTE(MoneyBuffer,"+","")&amp;")"  ))</f>
        <v>($50)</v>
      </c>
      <c r="O15" s="45" t="s">
        <v>6</v>
      </c>
      <c r="P15" s="45"/>
      <c r="Q15" s="45"/>
      <c r="R15" s="40">
        <f>IF(M15="","",R14-IF(ISNUMBER(O15),O15,MoneyBuffer))</f>
        <v>950</v>
      </c>
      <c r="T15" s="105"/>
      <c r="U15" s="137"/>
      <c r="V15" s="140"/>
      <c r="W15" s="139"/>
      <c r="Z15" s="100"/>
      <c r="AB15" s="102">
        <v>11</v>
      </c>
      <c r="AC15" s="102"/>
      <c r="AD15" s="102"/>
    </row>
    <row r="16" spans="1:30" ht="16.95" customHeight="1" thickBot="1">
      <c r="L16" s="76" t="str">
        <f t="shared" si="1"/>
        <v/>
      </c>
      <c r="M16" s="29">
        <f t="shared" si="2"/>
        <v>43051</v>
      </c>
      <c r="N16" s="147" t="str">
        <f>IF(M16="","",IF(ISNUMBER(O16), "+$"&amp;MoneyBuffer, "($"&amp;SUBSTITUTE(MoneyBuffer,"+","")&amp;")"  ))</f>
        <v>($50)</v>
      </c>
      <c r="O16" s="46" t="s">
        <v>6</v>
      </c>
      <c r="P16" s="46"/>
      <c r="Q16" s="46"/>
      <c r="R16" s="40">
        <f>IF(M16="","",R15-IF(ISNUMBER(O16),O16,MoneyBuffer))</f>
        <v>900</v>
      </c>
      <c r="T16" s="106"/>
      <c r="U16" s="137"/>
      <c r="V16" s="141"/>
      <c r="W16" s="139"/>
      <c r="AB16" s="102">
        <v>12</v>
      </c>
      <c r="AC16" s="102"/>
      <c r="AD16" s="102"/>
    </row>
    <row r="17" spans="2:30" ht="16.95" customHeight="1">
      <c r="B17" s="15" t="s">
        <v>56</v>
      </c>
      <c r="C17" s="15"/>
      <c r="I17" s="133" t="s">
        <v>90</v>
      </c>
      <c r="J17" s="134"/>
      <c r="L17" s="76" t="str">
        <f t="shared" si="1"/>
        <v/>
      </c>
      <c r="M17" s="29">
        <f t="shared" si="2"/>
        <v>43052</v>
      </c>
      <c r="N17" s="147" t="str">
        <f>IF(M17="","",IF(ISNUMBER(O17), "+$"&amp;MoneyBuffer, "($"&amp;SUBSTITUTE(MoneyBuffer,"+","")&amp;")"  ))</f>
        <v>($50)</v>
      </c>
      <c r="O17" s="45" t="s">
        <v>6</v>
      </c>
      <c r="P17" s="45"/>
      <c r="Q17" s="45"/>
      <c r="R17" s="40">
        <f>IF(M17="","",R16-IF(ISNUMBER(O17),O17,MoneyBuffer))</f>
        <v>850</v>
      </c>
      <c r="T17" s="105"/>
      <c r="U17" s="137"/>
      <c r="V17" s="142"/>
      <c r="W17" s="139"/>
      <c r="AB17" s="102">
        <v>13</v>
      </c>
      <c r="AC17" s="102"/>
      <c r="AD17" s="102"/>
    </row>
    <row r="18" spans="2:30" ht="16.95" customHeight="1">
      <c r="B18" s="73" t="s">
        <v>57</v>
      </c>
      <c r="C18" s="131" t="s">
        <v>60</v>
      </c>
      <c r="D18" s="132"/>
      <c r="E18" s="123" t="s">
        <v>71</v>
      </c>
      <c r="F18" s="124"/>
      <c r="G18" s="124"/>
      <c r="H18" s="14"/>
      <c r="I18" s="88"/>
      <c r="J18" s="89" t="str">
        <f>J7</f>
        <v>$2286.7</v>
      </c>
      <c r="L18" s="76" t="str">
        <f t="shared" si="1"/>
        <v/>
      </c>
      <c r="M18" s="29">
        <f t="shared" si="2"/>
        <v>43053</v>
      </c>
      <c r="N18" s="147" t="str">
        <f>IF(M18="","",IF(ISNUMBER(O18), "+$"&amp;MoneyBuffer, "($"&amp;SUBSTITUTE(MoneyBuffer,"+","")&amp;")"  ))</f>
        <v>($50)</v>
      </c>
      <c r="O18" s="46" t="s">
        <v>106</v>
      </c>
      <c r="P18" s="46"/>
      <c r="Q18" s="46"/>
      <c r="R18" s="40">
        <f>IF(M18="","",R17-IF(ISNUMBER(O18),O18,MoneyBuffer))</f>
        <v>800</v>
      </c>
      <c r="V18" s="95"/>
      <c r="AB18" s="102">
        <v>14</v>
      </c>
      <c r="AC18" s="102"/>
      <c r="AD18" s="102"/>
    </row>
    <row r="19" spans="2:30" ht="16.95" customHeight="1">
      <c r="B19" s="77" t="s">
        <v>93</v>
      </c>
      <c r="C19" s="74" t="str">
        <f>MonthVal&amp;"/"</f>
        <v>11/</v>
      </c>
      <c r="D19" s="72" t="s">
        <v>102</v>
      </c>
      <c r="E19" s="122"/>
      <c r="F19" s="122"/>
      <c r="G19" s="122"/>
      <c r="I19" s="90" t="s">
        <v>78</v>
      </c>
      <c r="J19" s="91">
        <f>IF(ISNUMBER(J11),J11,J12)</f>
        <v>786.69999999999982</v>
      </c>
      <c r="L19" s="76" t="str">
        <f t="shared" si="1"/>
        <v/>
      </c>
      <c r="M19" s="29">
        <f t="shared" si="2"/>
        <v>43054</v>
      </c>
      <c r="N19" s="147" t="str">
        <f>IF(M19="","",IF(ISNUMBER(O19), "+$"&amp;MoneyBuffer, "($"&amp;SUBSTITUTE(MoneyBuffer,"+","")&amp;")"  ))</f>
        <v>($50)</v>
      </c>
      <c r="O19" s="45" t="s">
        <v>6</v>
      </c>
      <c r="P19" s="45"/>
      <c r="Q19" s="45"/>
      <c r="R19" s="40">
        <f>IF(M19="","",R18-IF(ISNUMBER(O19),O19,MoneyBuffer))</f>
        <v>750</v>
      </c>
      <c r="V19" s="107"/>
      <c r="AB19" s="102">
        <v>15</v>
      </c>
      <c r="AC19" s="102"/>
      <c r="AD19" s="102"/>
    </row>
    <row r="20" spans="2:30" ht="16.95" customHeight="1" thickBot="1">
      <c r="B20" s="77" t="s">
        <v>58</v>
      </c>
      <c r="C20" s="74" t="str">
        <f>MonthVal&amp;"/"</f>
        <v>11/</v>
      </c>
      <c r="D20" s="72" t="s">
        <v>102</v>
      </c>
      <c r="E20" s="121"/>
      <c r="F20" s="121"/>
      <c r="G20" s="121"/>
      <c r="I20" s="92" t="s">
        <v>77</v>
      </c>
      <c r="J20" s="93">
        <f>IF(ISNUMBER(J15),J15,0)</f>
        <v>0</v>
      </c>
      <c r="K20" s="11"/>
      <c r="L20" s="76" t="str">
        <f t="shared" si="1"/>
        <v/>
      </c>
      <c r="M20" s="29">
        <f t="shared" si="2"/>
        <v>43055</v>
      </c>
      <c r="N20" s="147" t="str">
        <f>IF(M20="","",IF(ISNUMBER(O20), "+$"&amp;MoneyBuffer, "($"&amp;SUBSTITUTE(MoneyBuffer,"+","")&amp;")"  ))</f>
        <v>($50)</v>
      </c>
      <c r="O20" s="46" t="s">
        <v>6</v>
      </c>
      <c r="P20" s="46"/>
      <c r="Q20" s="46"/>
      <c r="R20" s="40">
        <f>IF(M20="","",R19-IF(ISNUMBER(O20),O20,MoneyBuffer))</f>
        <v>700</v>
      </c>
      <c r="T20" s="26"/>
      <c r="U20" s="26"/>
      <c r="V20" s="96"/>
      <c r="AB20" s="102">
        <v>16</v>
      </c>
      <c r="AC20" s="102"/>
      <c r="AD20" s="102"/>
    </row>
    <row r="21" spans="2:30" ht="16.95" customHeight="1" thickBot="1">
      <c r="B21" s="78" t="s">
        <v>59</v>
      </c>
      <c r="C21" s="74" t="str">
        <f>MonthVal&amp;"/"</f>
        <v>11/</v>
      </c>
      <c r="D21" s="72" t="s">
        <v>98</v>
      </c>
      <c r="E21" s="121"/>
      <c r="F21" s="121"/>
      <c r="G21" s="121"/>
      <c r="I21" s="94"/>
      <c r="J21" s="98">
        <f>R2</f>
        <v>1500</v>
      </c>
      <c r="L21" s="76" t="str">
        <f t="shared" si="1"/>
        <v/>
      </c>
      <c r="M21" s="29">
        <f t="shared" si="2"/>
        <v>43056</v>
      </c>
      <c r="N21" s="147" t="str">
        <f>IF(M21="","",IF(ISNUMBER(O21), "+$"&amp;MoneyBuffer, "($"&amp;SUBSTITUTE(MoneyBuffer,"+","")&amp;")"  ))</f>
        <v>($50)</v>
      </c>
      <c r="O21" s="45" t="s">
        <v>105</v>
      </c>
      <c r="P21" s="45"/>
      <c r="Q21" s="45"/>
      <c r="R21" s="40">
        <f>IF(M21="","",R20-IF(ISNUMBER(O21),O21,MoneyBuffer))</f>
        <v>650</v>
      </c>
      <c r="T21" s="26"/>
      <c r="U21" s="26"/>
      <c r="V21" s="97"/>
      <c r="X21" s="27"/>
      <c r="AB21" s="102">
        <v>17</v>
      </c>
      <c r="AC21" s="102"/>
      <c r="AD21" s="102"/>
    </row>
    <row r="22" spans="2:30" ht="16.95" customHeight="1">
      <c r="B22" s="78" t="s">
        <v>72</v>
      </c>
      <c r="C22" s="74" t="str">
        <f>MonthVal&amp;"/"</f>
        <v>11/</v>
      </c>
      <c r="D22" s="72" t="s">
        <v>55</v>
      </c>
      <c r="E22" s="121"/>
      <c r="F22" s="121"/>
      <c r="G22" s="121"/>
      <c r="K22" s="5"/>
      <c r="L22" s="76" t="str">
        <f t="shared" si="1"/>
        <v/>
      </c>
      <c r="M22" s="29">
        <f t="shared" si="2"/>
        <v>43057</v>
      </c>
      <c r="N22" s="147" t="str">
        <f>IF(M22="","",IF(ISNUMBER(O22), "+$"&amp;MoneyBuffer, "($"&amp;SUBSTITUTE(MoneyBuffer,"+","")&amp;")"  ))</f>
        <v>($50)</v>
      </c>
      <c r="O22" s="46" t="s">
        <v>55</v>
      </c>
      <c r="P22" s="46"/>
      <c r="Q22" s="46"/>
      <c r="R22" s="40">
        <f>IF(M22="","",R21-IF(ISNUMBER(O22),O22,MoneyBuffer))</f>
        <v>600</v>
      </c>
      <c r="AB22" s="102">
        <v>18</v>
      </c>
      <c r="AC22" s="102"/>
      <c r="AD22" s="102"/>
    </row>
    <row r="23" spans="2:30" ht="16.95" customHeight="1">
      <c r="B23" s="78" t="s">
        <v>73</v>
      </c>
      <c r="C23" s="74" t="str">
        <f>MonthVal&amp;"/"</f>
        <v>11/</v>
      </c>
      <c r="D23" s="72" t="s">
        <v>55</v>
      </c>
      <c r="E23" s="121"/>
      <c r="F23" s="121"/>
      <c r="G23" s="121"/>
      <c r="K23" s="10"/>
      <c r="L23" s="76" t="str">
        <f t="shared" si="1"/>
        <v/>
      </c>
      <c r="M23" s="29">
        <f t="shared" si="2"/>
        <v>43058</v>
      </c>
      <c r="N23" s="147" t="str">
        <f>IF(M23="","",IF(ISNUMBER(O23), "+$"&amp;MoneyBuffer, "($"&amp;SUBSTITUTE(MoneyBuffer,"+","")&amp;")"  ))</f>
        <v>($50)</v>
      </c>
      <c r="O23" s="45" t="s">
        <v>6</v>
      </c>
      <c r="P23" s="45"/>
      <c r="Q23" s="45"/>
      <c r="R23" s="40">
        <f>IF(M23="","",R22-IF(ISNUMBER(O23),O23,MoneyBuffer))</f>
        <v>550</v>
      </c>
      <c r="AB23" s="102">
        <v>19</v>
      </c>
      <c r="AC23" s="102"/>
      <c r="AD23" s="102"/>
    </row>
    <row r="24" spans="2:30" ht="16.95" customHeight="1">
      <c r="B24" s="55"/>
      <c r="C24" s="55"/>
      <c r="E24" s="6"/>
      <c r="L24" s="76" t="str">
        <f t="shared" si="1"/>
        <v/>
      </c>
      <c r="M24" s="29">
        <f t="shared" si="2"/>
        <v>43059</v>
      </c>
      <c r="N24" s="147" t="str">
        <f>IF(M24="","",IF(ISNUMBER(O24), "+$"&amp;MoneyBuffer, "($"&amp;SUBSTITUTE(MoneyBuffer,"+","")&amp;")"  ))</f>
        <v>($50)</v>
      </c>
      <c r="O24" s="46" t="s">
        <v>6</v>
      </c>
      <c r="P24" s="46"/>
      <c r="Q24" s="46"/>
      <c r="R24" s="40">
        <f>IF(M24="","",R23-IF(ISNUMBER(O24),O24,MoneyBuffer))</f>
        <v>500</v>
      </c>
      <c r="AB24" s="102">
        <v>20</v>
      </c>
      <c r="AC24" s="102"/>
      <c r="AD24" s="102"/>
    </row>
    <row r="25" spans="2:30" ht="16.95" customHeight="1">
      <c r="B25" s="55"/>
      <c r="D25" s="2"/>
      <c r="F25" s="25"/>
      <c r="G25" s="3"/>
      <c r="L25" s="76" t="str">
        <f t="shared" si="1"/>
        <v/>
      </c>
      <c r="M25" s="29">
        <f t="shared" si="2"/>
        <v>43060</v>
      </c>
      <c r="N25" s="147" t="str">
        <f>IF(M25="","",IF(ISNUMBER(O25), "+$"&amp;MoneyBuffer, "($"&amp;SUBSTITUTE(MoneyBuffer,"+","")&amp;")"  ))</f>
        <v>($50)</v>
      </c>
      <c r="O25" s="45" t="s">
        <v>6</v>
      </c>
      <c r="P25" s="45"/>
      <c r="Q25" s="45"/>
      <c r="R25" s="40">
        <f>IF(M25="","",R24-IF(ISNUMBER(O25),O25,MoneyBuffer))</f>
        <v>450</v>
      </c>
      <c r="AB25" s="102">
        <v>21</v>
      </c>
      <c r="AC25" s="102"/>
      <c r="AD25" s="102"/>
    </row>
    <row r="26" spans="2:30" ht="16.95" customHeight="1">
      <c r="L26" s="76" t="str">
        <f t="shared" si="1"/>
        <v/>
      </c>
      <c r="M26" s="29">
        <f t="shared" si="2"/>
        <v>43061</v>
      </c>
      <c r="N26" s="147" t="str">
        <f>IF(M26="","",IF(ISNUMBER(O26), "+$"&amp;MoneyBuffer, "($"&amp;SUBSTITUTE(MoneyBuffer,"+","")&amp;")"  ))</f>
        <v>($50)</v>
      </c>
      <c r="O26" s="46" t="s">
        <v>6</v>
      </c>
      <c r="P26" s="46"/>
      <c r="Q26" s="46"/>
      <c r="R26" s="40">
        <f>IF(M26="","",R25-IF(ISNUMBER(O26),O26,MoneyBuffer))</f>
        <v>400</v>
      </c>
      <c r="AB26" s="102">
        <v>22</v>
      </c>
      <c r="AC26" s="102"/>
      <c r="AD26" s="102"/>
    </row>
    <row r="27" spans="2:30" ht="16.95" customHeight="1">
      <c r="L27" s="76" t="str">
        <f t="shared" si="1"/>
        <v/>
      </c>
      <c r="M27" s="29">
        <f t="shared" si="2"/>
        <v>43062</v>
      </c>
      <c r="N27" s="147" t="str">
        <f>IF(M27="","",IF(ISNUMBER(O27), "+$"&amp;MoneyBuffer, "($"&amp;SUBSTITUTE(MoneyBuffer,"+","")&amp;")"  ))</f>
        <v>($50)</v>
      </c>
      <c r="O27" s="45" t="s">
        <v>6</v>
      </c>
      <c r="P27" s="45"/>
      <c r="Q27" s="45"/>
      <c r="R27" s="40">
        <f>IF(M27="","",R26-IF(ISNUMBER(O27),O27,MoneyBuffer))</f>
        <v>350</v>
      </c>
      <c r="AB27" s="102">
        <v>23</v>
      </c>
      <c r="AC27" s="102"/>
      <c r="AD27" s="102"/>
    </row>
    <row r="28" spans="2:30" ht="16.95" customHeight="1">
      <c r="L28" s="76" t="str">
        <f t="shared" si="1"/>
        <v/>
      </c>
      <c r="M28" s="29">
        <f t="shared" si="2"/>
        <v>43063</v>
      </c>
      <c r="N28" s="147" t="str">
        <f>IF(M28="","",IF(ISNUMBER(O28), "+$"&amp;MoneyBuffer, "($"&amp;SUBSTITUTE(MoneyBuffer,"+","")&amp;")"  ))</f>
        <v>($50)</v>
      </c>
      <c r="O28" s="46" t="s">
        <v>6</v>
      </c>
      <c r="P28" s="46"/>
      <c r="Q28" s="46"/>
      <c r="R28" s="40">
        <f>IF(M28="","",R27-IF(ISNUMBER(O28),O28,MoneyBuffer))</f>
        <v>300</v>
      </c>
      <c r="AB28" s="102">
        <v>24</v>
      </c>
      <c r="AC28" s="102"/>
      <c r="AD28" s="102"/>
    </row>
    <row r="29" spans="2:30" ht="16.95" customHeight="1">
      <c r="K29" s="10"/>
      <c r="L29" s="76" t="str">
        <f t="shared" si="1"/>
        <v>★</v>
      </c>
      <c r="M29" s="29">
        <f t="shared" si="2"/>
        <v>43064</v>
      </c>
      <c r="N29" s="147" t="str">
        <f>IF(M29="","",IF(ISNUMBER(O29), "+$"&amp;MoneyBuffer, "($"&amp;SUBSTITUTE(MoneyBuffer,"+","")&amp;")"  ))</f>
        <v>($50)</v>
      </c>
      <c r="O29" s="45" t="s">
        <v>6</v>
      </c>
      <c r="P29" s="45"/>
      <c r="Q29" s="45"/>
      <c r="R29" s="40">
        <f>IF(M29="","",R28-IF(ISNUMBER(O29),O29,MoneyBuffer))</f>
        <v>250</v>
      </c>
      <c r="AB29" s="102">
        <v>25</v>
      </c>
      <c r="AC29" s="102"/>
      <c r="AD29" s="102"/>
    </row>
    <row r="30" spans="2:30" ht="16.95" customHeight="1">
      <c r="L30" s="76" t="str">
        <f t="shared" si="1"/>
        <v/>
      </c>
      <c r="M30" s="29">
        <f t="shared" si="2"/>
        <v>43065</v>
      </c>
      <c r="N30" s="147" t="str">
        <f>IF(M30="","",IF(ISNUMBER(O30), "+$"&amp;MoneyBuffer, "($"&amp;SUBSTITUTE(MoneyBuffer,"+","")&amp;")"  ))</f>
        <v>($50)</v>
      </c>
      <c r="O30" s="46" t="s">
        <v>6</v>
      </c>
      <c r="P30" s="46"/>
      <c r="Q30" s="46"/>
      <c r="R30" s="40">
        <f>IF(M30="","",R29-IF(ISNUMBER(O30),O30,MoneyBuffer))</f>
        <v>200</v>
      </c>
      <c r="AB30" s="102">
        <v>26</v>
      </c>
      <c r="AC30" s="102"/>
      <c r="AD30" s="102"/>
    </row>
    <row r="31" spans="2:30" ht="16.95" customHeight="1">
      <c r="L31" s="76" t="str">
        <f t="shared" si="1"/>
        <v>★</v>
      </c>
      <c r="M31" s="29">
        <f t="shared" si="2"/>
        <v>43066</v>
      </c>
      <c r="N31" s="147" t="str">
        <f>IF(M31="","",IF(ISNUMBER(O31), "+$"&amp;MoneyBuffer, "($"&amp;SUBSTITUTE(MoneyBuffer,"+","")&amp;")"  ))</f>
        <v>($50)</v>
      </c>
      <c r="O31" s="45" t="s">
        <v>6</v>
      </c>
      <c r="P31" s="45"/>
      <c r="Q31" s="45"/>
      <c r="R31" s="40">
        <f>IF(M31="","",R30-IF(ISNUMBER(O31),O31,MoneyBuffer))</f>
        <v>150</v>
      </c>
      <c r="AB31" s="102">
        <v>27</v>
      </c>
      <c r="AC31" s="102"/>
      <c r="AD31" s="102"/>
    </row>
    <row r="32" spans="2:30" ht="16.95" customHeight="1">
      <c r="L32" s="76" t="str">
        <f t="shared" si="1"/>
        <v/>
      </c>
      <c r="M32" s="29">
        <f t="shared" si="2"/>
        <v>43067</v>
      </c>
      <c r="N32" s="147" t="str">
        <f>IF(M32="","",IF(ISNUMBER(O32), "+$"&amp;MoneyBuffer, "($"&amp;SUBSTITUTE(MoneyBuffer,"+","")&amp;")"  ))</f>
        <v>($50)</v>
      </c>
      <c r="O32" s="46" t="s">
        <v>6</v>
      </c>
      <c r="P32" s="46"/>
      <c r="Q32" s="46"/>
      <c r="R32" s="40">
        <f>IF(M32="","",R31-IF(ISNUMBER(O32),O32,MoneyBuffer))</f>
        <v>100</v>
      </c>
      <c r="AB32" s="102">
        <v>28</v>
      </c>
      <c r="AC32" s="102"/>
      <c r="AD32" s="102"/>
    </row>
    <row r="33" spans="8:30" ht="16.95" customHeight="1">
      <c r="L33" s="76" t="str">
        <f t="shared" si="1"/>
        <v/>
      </c>
      <c r="M33" s="29">
        <f t="shared" si="2"/>
        <v>43068</v>
      </c>
      <c r="N33" s="147" t="str">
        <f>IF(M33="","",IF(ISNUMBER(O33), "+$"&amp;MoneyBuffer, "($"&amp;SUBSTITUTE(MoneyBuffer,"+","")&amp;")"  ))</f>
        <v>($50)</v>
      </c>
      <c r="O33" s="45" t="s">
        <v>6</v>
      </c>
      <c r="P33" s="45"/>
      <c r="Q33" s="45"/>
      <c r="R33" s="40">
        <f>IF(M33="","",R32-IF(ISNUMBER(O33),O33,MoneyBuffer))</f>
        <v>50</v>
      </c>
      <c r="AB33" s="102">
        <v>29</v>
      </c>
      <c r="AC33" s="102"/>
      <c r="AD33" s="102"/>
    </row>
    <row r="34" spans="8:30" ht="16.95" customHeight="1">
      <c r="L34" s="76" t="str">
        <f t="shared" si="1"/>
        <v/>
      </c>
      <c r="M34" s="29">
        <f t="shared" si="2"/>
        <v>43069</v>
      </c>
      <c r="N34" s="147" t="str">
        <f>IF(M34="","",IF(ISNUMBER(O34), "+$"&amp;MoneyBuffer, "($"&amp;SUBSTITUTE(MoneyBuffer,"+","")&amp;")"  ))</f>
        <v>($50)</v>
      </c>
      <c r="O34" s="46" t="s">
        <v>105</v>
      </c>
      <c r="P34" s="46"/>
      <c r="Q34" s="46"/>
      <c r="R34" s="40">
        <f>IF(M34="","",R33-IF(ISNUMBER(O34),O34,MoneyBuffer))</f>
        <v>0</v>
      </c>
      <c r="S34" s="1"/>
      <c r="AB34" s="102">
        <v>30</v>
      </c>
      <c r="AC34" s="102"/>
      <c r="AD34" s="102"/>
    </row>
    <row r="35" spans="8:30" ht="16.95" customHeight="1" thickBot="1">
      <c r="L35" s="76" t="str">
        <f t="shared" si="1"/>
        <v/>
      </c>
      <c r="M35" s="29" t="str">
        <f t="shared" si="2"/>
        <v/>
      </c>
      <c r="N35" s="147" t="str">
        <f>IF(M35="","",IF(ISNUMBER(O35), "+$"&amp;MoneyBuffer, "($"&amp;SUBSTITUTE(MoneyBuffer,"+","")&amp;")"  ))</f>
        <v/>
      </c>
      <c r="O35" s="45" t="s">
        <v>6</v>
      </c>
      <c r="P35" s="45"/>
      <c r="Q35" s="45"/>
      <c r="R35" s="40" t="str">
        <f>IF(M35="","",R34-IF(ISNUMBER(O35),O35,MoneyBuffer))</f>
        <v/>
      </c>
      <c r="AB35" s="102">
        <v>31</v>
      </c>
      <c r="AC35" s="102"/>
      <c r="AD35" s="102"/>
    </row>
    <row r="36" spans="8:30" ht="22.2" customHeight="1" thickTop="1">
      <c r="H36" s="30"/>
      <c r="L36" s="60"/>
      <c r="M36" s="125" t="s">
        <v>61</v>
      </c>
      <c r="N36" s="126"/>
      <c r="O36" s="61">
        <f>SUM(O5:O35)</f>
        <v>0</v>
      </c>
      <c r="P36" s="61"/>
      <c r="Q36" s="61"/>
      <c r="R36" s="47"/>
    </row>
    <row r="37" spans="8:30">
      <c r="H37" s="30"/>
      <c r="I37" s="30"/>
      <c r="O37" s="3"/>
      <c r="P37" s="3"/>
      <c r="Q37" s="3"/>
      <c r="R37" s="3"/>
      <c r="S37" s="3"/>
    </row>
    <row r="38" spans="8:30">
      <c r="O38" s="2"/>
      <c r="P38" s="2"/>
      <c r="Q38" s="2"/>
      <c r="R38" s="8"/>
      <c r="S38" s="7"/>
    </row>
  </sheetData>
  <dataConsolidate/>
  <mergeCells count="15">
    <mergeCell ref="M36:N36"/>
    <mergeCell ref="I3:J3"/>
    <mergeCell ref="I10:J10"/>
    <mergeCell ref="C18:D18"/>
    <mergeCell ref="I17:J17"/>
    <mergeCell ref="E22:G22"/>
    <mergeCell ref="E23:G23"/>
    <mergeCell ref="I14:J14"/>
    <mergeCell ref="T2:U3"/>
    <mergeCell ref="T4:U4"/>
    <mergeCell ref="C1:E1"/>
    <mergeCell ref="E21:G21"/>
    <mergeCell ref="E20:G20"/>
    <mergeCell ref="E19:G19"/>
    <mergeCell ref="E18:G18"/>
  </mergeCells>
  <phoneticPr fontId="14" type="noConversion"/>
  <conditionalFormatting sqref="B4:B14">
    <cfRule type="expression" dxfId="6" priority="11">
      <formula>INDIRECT(ADDRESS(ROW(),COLUMN()))="Ma"</formula>
    </cfRule>
  </conditionalFormatting>
  <conditionalFormatting sqref="E4:E14">
    <cfRule type="expression" dxfId="5" priority="16">
      <formula>OFFSET(E4,0,-3)="Ma"</formula>
    </cfRule>
    <cfRule type="expression" dxfId="4" priority="18">
      <formula>OFFSET(E4,0,-3)="Au"</formula>
    </cfRule>
  </conditionalFormatting>
  <conditionalFormatting sqref="M5:M35">
    <cfRule type="expression" dxfId="3" priority="4">
      <formula>M5=TODAY()</formula>
    </cfRule>
  </conditionalFormatting>
  <conditionalFormatting sqref="N5:N35">
    <cfRule type="expression" dxfId="2" priority="1">
      <formula>OFFSET(N5,0,-1)&gt;TODAY()</formula>
    </cfRule>
    <cfRule type="expression" dxfId="1" priority="2">
      <formula>OFFSET(N5,0,-1)=TODAY()</formula>
    </cfRule>
    <cfRule type="expression" dxfId="0" priority="3">
      <formula>NOT(ISNUMBER(O5))</formula>
    </cfRule>
  </conditionalFormatting>
  <dataValidations count="6">
    <dataValidation allowBlank="1" showInputMessage="1" showErrorMessage="1" promptTitle="ReserveAmt" prompt="Enter amount to reserve at the BEGINNING of this month. Enter asterisk ('*') to see the sheet with assumption you reserve all amount shown in &quot;Reservable&quot;." sqref="J11"/>
    <dataValidation type="whole" allowBlank="1" showInputMessage="1" showErrorMessage="1" promptTitle="YearVal" prompt="Enter the year you currently exist as a mortal" sqref="H1">
      <formula1>1000</formula1>
      <formula2>3000</formula2>
    </dataValidation>
    <dataValidation allowBlank="1" showInputMessage="1" showErrorMessage="1" promptTitle="BufferModel" prompt="Desired/goal size of daily money buffer. This value is used only if &quot;Actually Reserved&quot; is *. Use this see how much money is reservable at beginning of month." sqref="N2"/>
    <dataValidation allowBlank="1" showInputMessage="1" showErrorMessage="1" promptTitle="AddedAmt" prompt="Whatever money that has been carried over to this month. It could be the remaining from last month, or any extra money that you want to add to the starting pool." sqref="J15"/>
    <dataValidation allowBlank="1" showInputMessage="1" showErrorMessage="1" promptTitle="incomeAmt" prompt="How loaded you are in a numerical representation." sqref="J4"/>
    <dataValidation allowBlank="1" showErrorMessage="1" promptTitle="ExpenseType" prompt="Au = &quot;Automatic&quot;. Ma =&quot;Manual&quot;. Select &quot;Au&quot; if this expense goes out automatically, &quot;Ma&quot; if you initate payment monthly yourself." sqref="C4:C1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85" r:id="rId4" name="Option Button 1">
              <controlPr defaultSize="0" autoFill="0" autoLine="0" autoPict="0" macro="[0]!OpBtn_Click">
                <anchor moveWithCells="1">
                  <from>
                    <xdr:col>16</xdr:col>
                    <xdr:colOff>15240</xdr:colOff>
                    <xdr:row>4</xdr:row>
                    <xdr:rowOff>0</xdr:rowOff>
                  </from>
                  <to>
                    <xdr:col>17</xdr:col>
                    <xdr:colOff>114300</xdr:colOff>
                    <xdr:row>5</xdr:row>
                    <xdr:rowOff>53340</xdr:rowOff>
                  </to>
                </anchor>
              </controlPr>
            </control>
          </mc:Choice>
        </mc:AlternateContent>
        <mc:AlternateContent xmlns:mc="http://schemas.openxmlformats.org/markup-compatibility/2006">
          <mc:Choice Requires="x14">
            <control shapeId="159786" r:id="rId5" name="SubmitButton">
              <controlPr defaultSize="0" autoFill="0" autoPict="0" macro="[0]!SubmitButton_click">
                <anchor moveWithCells="1" sizeWithCells="1">
                  <from>
                    <xdr:col>19</xdr:col>
                    <xdr:colOff>121920</xdr:colOff>
                    <xdr:row>17</xdr:row>
                    <xdr:rowOff>83820</xdr:rowOff>
                  </from>
                  <to>
                    <xdr:col>20</xdr:col>
                    <xdr:colOff>594360</xdr:colOff>
                    <xdr:row>19</xdr:row>
                    <xdr:rowOff>76200</xdr:rowOff>
                  </to>
                </anchor>
              </controlPr>
            </control>
          </mc:Choice>
        </mc:AlternateContent>
        <mc:AlternateContent xmlns:mc="http://schemas.openxmlformats.org/markup-compatibility/2006">
          <mc:Choice Requires="x14">
            <control shapeId="159789" r:id="rId6" name="Option Button 2">
              <controlPr defaultSize="0" autoFill="0" autoLine="0" autoPict="0" macro="[0]!OpBtn_Click">
                <anchor moveWithCells="1">
                  <from>
                    <xdr:col>16</xdr:col>
                    <xdr:colOff>15240</xdr:colOff>
                    <xdr:row>4</xdr:row>
                    <xdr:rowOff>205740</xdr:rowOff>
                  </from>
                  <to>
                    <xdr:col>17</xdr:col>
                    <xdr:colOff>114300</xdr:colOff>
                    <xdr:row>6</xdr:row>
                    <xdr:rowOff>38100</xdr:rowOff>
                  </to>
                </anchor>
              </controlPr>
            </control>
          </mc:Choice>
        </mc:AlternateContent>
        <mc:AlternateContent xmlns:mc="http://schemas.openxmlformats.org/markup-compatibility/2006">
          <mc:Choice Requires="x14">
            <control shapeId="159790" r:id="rId7" name="Option Button 3">
              <controlPr defaultSize="0" autoFill="0" autoLine="0" autoPict="0" macro="[0]!OpBtn_Click">
                <anchor moveWithCells="1">
                  <from>
                    <xdr:col>16</xdr:col>
                    <xdr:colOff>7620</xdr:colOff>
                    <xdr:row>5</xdr:row>
                    <xdr:rowOff>198120</xdr:rowOff>
                  </from>
                  <to>
                    <xdr:col>17</xdr:col>
                    <xdr:colOff>106680</xdr:colOff>
                    <xdr:row>7</xdr:row>
                    <xdr:rowOff>22860</xdr:rowOff>
                  </to>
                </anchor>
              </controlPr>
            </control>
          </mc:Choice>
        </mc:AlternateContent>
        <mc:AlternateContent xmlns:mc="http://schemas.openxmlformats.org/markup-compatibility/2006">
          <mc:Choice Requires="x14">
            <control shapeId="159792" r:id="rId8" name="Option Button 4">
              <controlPr defaultSize="0" autoFill="0" autoLine="0" autoPict="0" macro="[0]!OpBtn_Click">
                <anchor moveWithCells="1">
                  <from>
                    <xdr:col>16</xdr:col>
                    <xdr:colOff>7620</xdr:colOff>
                    <xdr:row>6</xdr:row>
                    <xdr:rowOff>198120</xdr:rowOff>
                  </from>
                  <to>
                    <xdr:col>17</xdr:col>
                    <xdr:colOff>106680</xdr:colOff>
                    <xdr:row>8</xdr:row>
                    <xdr:rowOff>38100</xdr:rowOff>
                  </to>
                </anchor>
              </controlPr>
            </control>
          </mc:Choice>
        </mc:AlternateContent>
        <mc:AlternateContent xmlns:mc="http://schemas.openxmlformats.org/markup-compatibility/2006">
          <mc:Choice Requires="x14">
            <control shapeId="159793" r:id="rId9" name="Option Button 5">
              <controlPr defaultSize="0" autoFill="0" autoLine="0" autoPict="0" macro="[0]!OpBtn_Click">
                <anchor moveWithCells="1">
                  <from>
                    <xdr:col>16</xdr:col>
                    <xdr:colOff>15240</xdr:colOff>
                    <xdr:row>8</xdr:row>
                    <xdr:rowOff>0</xdr:rowOff>
                  </from>
                  <to>
                    <xdr:col>17</xdr:col>
                    <xdr:colOff>114300</xdr:colOff>
                    <xdr:row>9</xdr:row>
                    <xdr:rowOff>53340</xdr:rowOff>
                  </to>
                </anchor>
              </controlPr>
            </control>
          </mc:Choice>
        </mc:AlternateContent>
        <mc:AlternateContent xmlns:mc="http://schemas.openxmlformats.org/markup-compatibility/2006">
          <mc:Choice Requires="x14">
            <control shapeId="159794" r:id="rId10" name="Option Button 6">
              <controlPr defaultSize="0" autoFill="0" autoLine="0" autoPict="0" macro="[0]!OpBtn_Click">
                <anchor moveWithCells="1">
                  <from>
                    <xdr:col>16</xdr:col>
                    <xdr:colOff>15240</xdr:colOff>
                    <xdr:row>9</xdr:row>
                    <xdr:rowOff>0</xdr:rowOff>
                  </from>
                  <to>
                    <xdr:col>17</xdr:col>
                    <xdr:colOff>114300</xdr:colOff>
                    <xdr:row>10</xdr:row>
                    <xdr:rowOff>53340</xdr:rowOff>
                  </to>
                </anchor>
              </controlPr>
            </control>
          </mc:Choice>
        </mc:AlternateContent>
        <mc:AlternateContent xmlns:mc="http://schemas.openxmlformats.org/markup-compatibility/2006">
          <mc:Choice Requires="x14">
            <control shapeId="159795" r:id="rId11" name="Option Button 7">
              <controlPr defaultSize="0" autoFill="0" autoLine="0" autoPict="0" macro="[0]!OpBtn_Click">
                <anchor moveWithCells="1">
                  <from>
                    <xdr:col>16</xdr:col>
                    <xdr:colOff>15240</xdr:colOff>
                    <xdr:row>10</xdr:row>
                    <xdr:rowOff>0</xdr:rowOff>
                  </from>
                  <to>
                    <xdr:col>17</xdr:col>
                    <xdr:colOff>114300</xdr:colOff>
                    <xdr:row>11</xdr:row>
                    <xdr:rowOff>53340</xdr:rowOff>
                  </to>
                </anchor>
              </controlPr>
            </control>
          </mc:Choice>
        </mc:AlternateContent>
        <mc:AlternateContent xmlns:mc="http://schemas.openxmlformats.org/markup-compatibility/2006">
          <mc:Choice Requires="x14">
            <control shapeId="159797" r:id="rId12" name="Option Button 8">
              <controlPr defaultSize="0" autoFill="0" autoLine="0" autoPict="0" macro="[0]!OpBtn_Click">
                <anchor moveWithCells="1">
                  <from>
                    <xdr:col>16</xdr:col>
                    <xdr:colOff>15240</xdr:colOff>
                    <xdr:row>11</xdr:row>
                    <xdr:rowOff>0</xdr:rowOff>
                  </from>
                  <to>
                    <xdr:col>17</xdr:col>
                    <xdr:colOff>114300</xdr:colOff>
                    <xdr:row>12</xdr:row>
                    <xdr:rowOff>53340</xdr:rowOff>
                  </to>
                </anchor>
              </controlPr>
            </control>
          </mc:Choice>
        </mc:AlternateContent>
        <mc:AlternateContent xmlns:mc="http://schemas.openxmlformats.org/markup-compatibility/2006">
          <mc:Choice Requires="x14">
            <control shapeId="159798" r:id="rId13" name="Option Button 9">
              <controlPr defaultSize="0" autoFill="0" autoLine="0" autoPict="0" macro="[0]!OpBtn_Click">
                <anchor moveWithCells="1">
                  <from>
                    <xdr:col>16</xdr:col>
                    <xdr:colOff>15240</xdr:colOff>
                    <xdr:row>11</xdr:row>
                    <xdr:rowOff>198120</xdr:rowOff>
                  </from>
                  <to>
                    <xdr:col>17</xdr:col>
                    <xdr:colOff>114300</xdr:colOff>
                    <xdr:row>13</xdr:row>
                    <xdr:rowOff>38100</xdr:rowOff>
                  </to>
                </anchor>
              </controlPr>
            </control>
          </mc:Choice>
        </mc:AlternateContent>
        <mc:AlternateContent xmlns:mc="http://schemas.openxmlformats.org/markup-compatibility/2006">
          <mc:Choice Requires="x14">
            <control shapeId="159799" r:id="rId14" name="Option Button 10">
              <controlPr defaultSize="0" autoFill="0" autoLine="0" autoPict="0" macro="[0]!OpBtn_Click">
                <anchor moveWithCells="1">
                  <from>
                    <xdr:col>16</xdr:col>
                    <xdr:colOff>7620</xdr:colOff>
                    <xdr:row>12</xdr:row>
                    <xdr:rowOff>198120</xdr:rowOff>
                  </from>
                  <to>
                    <xdr:col>17</xdr:col>
                    <xdr:colOff>106680</xdr:colOff>
                    <xdr:row>14</xdr:row>
                    <xdr:rowOff>38100</xdr:rowOff>
                  </to>
                </anchor>
              </controlPr>
            </control>
          </mc:Choice>
        </mc:AlternateContent>
        <mc:AlternateContent xmlns:mc="http://schemas.openxmlformats.org/markup-compatibility/2006">
          <mc:Choice Requires="x14">
            <control shapeId="159800" r:id="rId15" name="Option Button 11">
              <controlPr defaultSize="0" autoFill="0" autoLine="0" autoPict="0" macro="[0]!OpBtn_Click">
                <anchor moveWithCells="1">
                  <from>
                    <xdr:col>16</xdr:col>
                    <xdr:colOff>7620</xdr:colOff>
                    <xdr:row>13</xdr:row>
                    <xdr:rowOff>198120</xdr:rowOff>
                  </from>
                  <to>
                    <xdr:col>17</xdr:col>
                    <xdr:colOff>106680</xdr:colOff>
                    <xdr:row>15</xdr:row>
                    <xdr:rowOff>38100</xdr:rowOff>
                  </to>
                </anchor>
              </controlPr>
            </control>
          </mc:Choice>
        </mc:AlternateContent>
        <mc:AlternateContent xmlns:mc="http://schemas.openxmlformats.org/markup-compatibility/2006">
          <mc:Choice Requires="x14">
            <control shapeId="159801" r:id="rId16" name="Option Button 12">
              <controlPr defaultSize="0" autoFill="0" autoLine="0" autoPict="0" macro="[0]!OpBtn_Click">
                <anchor moveWithCells="1">
                  <from>
                    <xdr:col>16</xdr:col>
                    <xdr:colOff>7620</xdr:colOff>
                    <xdr:row>14</xdr:row>
                    <xdr:rowOff>198120</xdr:rowOff>
                  </from>
                  <to>
                    <xdr:col>17</xdr:col>
                    <xdr:colOff>106680</xdr:colOff>
                    <xdr:row>16</xdr:row>
                    <xdr:rowOff>38100</xdr:rowOff>
                  </to>
                </anchor>
              </controlPr>
            </control>
          </mc:Choice>
        </mc:AlternateContent>
        <mc:AlternateContent xmlns:mc="http://schemas.openxmlformats.org/markup-compatibility/2006">
          <mc:Choice Requires="x14">
            <control shapeId="159802" r:id="rId17" name="Option Button 13">
              <controlPr defaultSize="0" autoFill="0" autoLine="0" autoPict="0" macro="[0]!OpBtn_Click">
                <anchor moveWithCells="1">
                  <from>
                    <xdr:col>16</xdr:col>
                    <xdr:colOff>15240</xdr:colOff>
                    <xdr:row>15</xdr:row>
                    <xdr:rowOff>198120</xdr:rowOff>
                  </from>
                  <to>
                    <xdr:col>17</xdr:col>
                    <xdr:colOff>114300</xdr:colOff>
                    <xdr:row>17</xdr:row>
                    <xdr:rowOff>38100</xdr:rowOff>
                  </to>
                </anchor>
              </controlPr>
            </control>
          </mc:Choice>
        </mc:AlternateContent>
        <mc:AlternateContent xmlns:mc="http://schemas.openxmlformats.org/markup-compatibility/2006">
          <mc:Choice Requires="x14">
            <control shapeId="159803" r:id="rId18" name="Option Button 14">
              <controlPr defaultSize="0" autoFill="0" autoLine="0" autoPict="0" macro="[0]!OpBtn_Click">
                <anchor moveWithCells="1">
                  <from>
                    <xdr:col>16</xdr:col>
                    <xdr:colOff>15240</xdr:colOff>
                    <xdr:row>16</xdr:row>
                    <xdr:rowOff>205740</xdr:rowOff>
                  </from>
                  <to>
                    <xdr:col>17</xdr:col>
                    <xdr:colOff>114300</xdr:colOff>
                    <xdr:row>18</xdr:row>
                    <xdr:rowOff>45720</xdr:rowOff>
                  </to>
                </anchor>
              </controlPr>
            </control>
          </mc:Choice>
        </mc:AlternateContent>
        <mc:AlternateContent xmlns:mc="http://schemas.openxmlformats.org/markup-compatibility/2006">
          <mc:Choice Requires="x14">
            <control shapeId="159804" r:id="rId19" name="Option Button 15">
              <controlPr defaultSize="0" autoFill="0" autoLine="0" autoPict="0" macro="[0]!OpBtn_Click">
                <anchor moveWithCells="1">
                  <from>
                    <xdr:col>16</xdr:col>
                    <xdr:colOff>15240</xdr:colOff>
                    <xdr:row>17</xdr:row>
                    <xdr:rowOff>198120</xdr:rowOff>
                  </from>
                  <to>
                    <xdr:col>17</xdr:col>
                    <xdr:colOff>114300</xdr:colOff>
                    <xdr:row>19</xdr:row>
                    <xdr:rowOff>38100</xdr:rowOff>
                  </to>
                </anchor>
              </controlPr>
            </control>
          </mc:Choice>
        </mc:AlternateContent>
        <mc:AlternateContent xmlns:mc="http://schemas.openxmlformats.org/markup-compatibility/2006">
          <mc:Choice Requires="x14">
            <control shapeId="159805" r:id="rId20" name="Option Button 16">
              <controlPr defaultSize="0" autoFill="0" autoLine="0" autoPict="0" macro="[0]!OpBtn_Click">
                <anchor moveWithCells="1">
                  <from>
                    <xdr:col>16</xdr:col>
                    <xdr:colOff>15240</xdr:colOff>
                    <xdr:row>18</xdr:row>
                    <xdr:rowOff>190500</xdr:rowOff>
                  </from>
                  <to>
                    <xdr:col>17</xdr:col>
                    <xdr:colOff>114300</xdr:colOff>
                    <xdr:row>20</xdr:row>
                    <xdr:rowOff>30480</xdr:rowOff>
                  </to>
                </anchor>
              </controlPr>
            </control>
          </mc:Choice>
        </mc:AlternateContent>
        <mc:AlternateContent xmlns:mc="http://schemas.openxmlformats.org/markup-compatibility/2006">
          <mc:Choice Requires="x14">
            <control shapeId="159806" r:id="rId21" name="Option Button 17">
              <controlPr defaultSize="0" autoFill="0" autoLine="0" autoPict="0" macro="[0]!OpBtn_Click">
                <anchor moveWithCells="1">
                  <from>
                    <xdr:col>16</xdr:col>
                    <xdr:colOff>15240</xdr:colOff>
                    <xdr:row>19</xdr:row>
                    <xdr:rowOff>205740</xdr:rowOff>
                  </from>
                  <to>
                    <xdr:col>17</xdr:col>
                    <xdr:colOff>114300</xdr:colOff>
                    <xdr:row>21</xdr:row>
                    <xdr:rowOff>45720</xdr:rowOff>
                  </to>
                </anchor>
              </controlPr>
            </control>
          </mc:Choice>
        </mc:AlternateContent>
        <mc:AlternateContent xmlns:mc="http://schemas.openxmlformats.org/markup-compatibility/2006">
          <mc:Choice Requires="x14">
            <control shapeId="159807" r:id="rId22" name="Option Button 18">
              <controlPr defaultSize="0" autoFill="0" autoLine="0" autoPict="0" macro="[0]!OpBtn_Click">
                <anchor moveWithCells="1">
                  <from>
                    <xdr:col>16</xdr:col>
                    <xdr:colOff>15240</xdr:colOff>
                    <xdr:row>20</xdr:row>
                    <xdr:rowOff>205740</xdr:rowOff>
                  </from>
                  <to>
                    <xdr:col>17</xdr:col>
                    <xdr:colOff>114300</xdr:colOff>
                    <xdr:row>22</xdr:row>
                    <xdr:rowOff>45720</xdr:rowOff>
                  </to>
                </anchor>
              </controlPr>
            </control>
          </mc:Choice>
        </mc:AlternateContent>
        <mc:AlternateContent xmlns:mc="http://schemas.openxmlformats.org/markup-compatibility/2006">
          <mc:Choice Requires="x14">
            <control shapeId="159808" r:id="rId23" name="Option Button 19">
              <controlPr defaultSize="0" autoFill="0" autoLine="0" autoPict="0" macro="[0]!OpBtn_Click">
                <anchor moveWithCells="1">
                  <from>
                    <xdr:col>16</xdr:col>
                    <xdr:colOff>15240</xdr:colOff>
                    <xdr:row>21</xdr:row>
                    <xdr:rowOff>198120</xdr:rowOff>
                  </from>
                  <to>
                    <xdr:col>17</xdr:col>
                    <xdr:colOff>114300</xdr:colOff>
                    <xdr:row>23</xdr:row>
                    <xdr:rowOff>38100</xdr:rowOff>
                  </to>
                </anchor>
              </controlPr>
            </control>
          </mc:Choice>
        </mc:AlternateContent>
        <mc:AlternateContent xmlns:mc="http://schemas.openxmlformats.org/markup-compatibility/2006">
          <mc:Choice Requires="x14">
            <control shapeId="159809" r:id="rId24" name="Option Button 20">
              <controlPr defaultSize="0" autoFill="0" autoLine="0" autoPict="0" macro="[0]!OpBtn_Click">
                <anchor moveWithCells="1">
                  <from>
                    <xdr:col>16</xdr:col>
                    <xdr:colOff>15240</xdr:colOff>
                    <xdr:row>22</xdr:row>
                    <xdr:rowOff>198120</xdr:rowOff>
                  </from>
                  <to>
                    <xdr:col>17</xdr:col>
                    <xdr:colOff>114300</xdr:colOff>
                    <xdr:row>24</xdr:row>
                    <xdr:rowOff>38100</xdr:rowOff>
                  </to>
                </anchor>
              </controlPr>
            </control>
          </mc:Choice>
        </mc:AlternateContent>
        <mc:AlternateContent xmlns:mc="http://schemas.openxmlformats.org/markup-compatibility/2006">
          <mc:Choice Requires="x14">
            <control shapeId="159810" r:id="rId25" name="Option Button 21">
              <controlPr defaultSize="0" autoFill="0" autoLine="0" autoPict="0" macro="[0]!OpBtn_Click">
                <anchor moveWithCells="1">
                  <from>
                    <xdr:col>16</xdr:col>
                    <xdr:colOff>15240</xdr:colOff>
                    <xdr:row>23</xdr:row>
                    <xdr:rowOff>198120</xdr:rowOff>
                  </from>
                  <to>
                    <xdr:col>17</xdr:col>
                    <xdr:colOff>114300</xdr:colOff>
                    <xdr:row>25</xdr:row>
                    <xdr:rowOff>38100</xdr:rowOff>
                  </to>
                </anchor>
              </controlPr>
            </control>
          </mc:Choice>
        </mc:AlternateContent>
        <mc:AlternateContent xmlns:mc="http://schemas.openxmlformats.org/markup-compatibility/2006">
          <mc:Choice Requires="x14">
            <control shapeId="159811" r:id="rId26" name="Option Button 22">
              <controlPr defaultSize="0" autoFill="0" autoLine="0" autoPict="0" macro="[0]!OpBtn_Click">
                <anchor moveWithCells="1">
                  <from>
                    <xdr:col>16</xdr:col>
                    <xdr:colOff>15240</xdr:colOff>
                    <xdr:row>24</xdr:row>
                    <xdr:rowOff>198120</xdr:rowOff>
                  </from>
                  <to>
                    <xdr:col>17</xdr:col>
                    <xdr:colOff>114300</xdr:colOff>
                    <xdr:row>26</xdr:row>
                    <xdr:rowOff>38100</xdr:rowOff>
                  </to>
                </anchor>
              </controlPr>
            </control>
          </mc:Choice>
        </mc:AlternateContent>
        <mc:AlternateContent xmlns:mc="http://schemas.openxmlformats.org/markup-compatibility/2006">
          <mc:Choice Requires="x14">
            <control shapeId="159812" r:id="rId27" name="Option Button 23">
              <controlPr defaultSize="0" autoFill="0" autoLine="0" autoPict="0" macro="[0]!OpBtn_Click">
                <anchor moveWithCells="1">
                  <from>
                    <xdr:col>16</xdr:col>
                    <xdr:colOff>15240</xdr:colOff>
                    <xdr:row>25</xdr:row>
                    <xdr:rowOff>198120</xdr:rowOff>
                  </from>
                  <to>
                    <xdr:col>17</xdr:col>
                    <xdr:colOff>114300</xdr:colOff>
                    <xdr:row>27</xdr:row>
                    <xdr:rowOff>38100</xdr:rowOff>
                  </to>
                </anchor>
              </controlPr>
            </control>
          </mc:Choice>
        </mc:AlternateContent>
        <mc:AlternateContent xmlns:mc="http://schemas.openxmlformats.org/markup-compatibility/2006">
          <mc:Choice Requires="x14">
            <control shapeId="159813" r:id="rId28" name="Option Button 24">
              <controlPr defaultSize="0" autoFill="0" autoLine="0" autoPict="0" macro="[0]!OpBtn_Click">
                <anchor moveWithCells="1">
                  <from>
                    <xdr:col>16</xdr:col>
                    <xdr:colOff>15240</xdr:colOff>
                    <xdr:row>26</xdr:row>
                    <xdr:rowOff>198120</xdr:rowOff>
                  </from>
                  <to>
                    <xdr:col>17</xdr:col>
                    <xdr:colOff>114300</xdr:colOff>
                    <xdr:row>28</xdr:row>
                    <xdr:rowOff>38100</xdr:rowOff>
                  </to>
                </anchor>
              </controlPr>
            </control>
          </mc:Choice>
        </mc:AlternateContent>
        <mc:AlternateContent xmlns:mc="http://schemas.openxmlformats.org/markup-compatibility/2006">
          <mc:Choice Requires="x14">
            <control shapeId="159814" r:id="rId29" name="Option Button 25">
              <controlPr defaultSize="0" autoFill="0" autoLine="0" autoPict="0" macro="[0]!OpBtn_Click">
                <anchor moveWithCells="1">
                  <from>
                    <xdr:col>16</xdr:col>
                    <xdr:colOff>15240</xdr:colOff>
                    <xdr:row>27</xdr:row>
                    <xdr:rowOff>190500</xdr:rowOff>
                  </from>
                  <to>
                    <xdr:col>17</xdr:col>
                    <xdr:colOff>114300</xdr:colOff>
                    <xdr:row>29</xdr:row>
                    <xdr:rowOff>30480</xdr:rowOff>
                  </to>
                </anchor>
              </controlPr>
            </control>
          </mc:Choice>
        </mc:AlternateContent>
        <mc:AlternateContent xmlns:mc="http://schemas.openxmlformats.org/markup-compatibility/2006">
          <mc:Choice Requires="x14">
            <control shapeId="159815" r:id="rId30" name="Option Button 26">
              <controlPr defaultSize="0" autoFill="0" autoLine="0" autoPict="0" macro="[0]!OpBtn_Click">
                <anchor moveWithCells="1">
                  <from>
                    <xdr:col>16</xdr:col>
                    <xdr:colOff>15240</xdr:colOff>
                    <xdr:row>28</xdr:row>
                    <xdr:rowOff>205740</xdr:rowOff>
                  </from>
                  <to>
                    <xdr:col>17</xdr:col>
                    <xdr:colOff>114300</xdr:colOff>
                    <xdr:row>30</xdr:row>
                    <xdr:rowOff>45720</xdr:rowOff>
                  </to>
                </anchor>
              </controlPr>
            </control>
          </mc:Choice>
        </mc:AlternateContent>
        <mc:AlternateContent xmlns:mc="http://schemas.openxmlformats.org/markup-compatibility/2006">
          <mc:Choice Requires="x14">
            <control shapeId="159816" r:id="rId31" name="Option Button 27">
              <controlPr defaultSize="0" autoFill="0" autoLine="0" autoPict="0" macro="[0]!OpBtn_Click">
                <anchor moveWithCells="1">
                  <from>
                    <xdr:col>16</xdr:col>
                    <xdr:colOff>15240</xdr:colOff>
                    <xdr:row>29</xdr:row>
                    <xdr:rowOff>205740</xdr:rowOff>
                  </from>
                  <to>
                    <xdr:col>17</xdr:col>
                    <xdr:colOff>114300</xdr:colOff>
                    <xdr:row>31</xdr:row>
                    <xdr:rowOff>45720</xdr:rowOff>
                  </to>
                </anchor>
              </controlPr>
            </control>
          </mc:Choice>
        </mc:AlternateContent>
        <mc:AlternateContent xmlns:mc="http://schemas.openxmlformats.org/markup-compatibility/2006">
          <mc:Choice Requires="x14">
            <control shapeId="159817" r:id="rId32" name="Option Button 28">
              <controlPr defaultSize="0" autoFill="0" autoLine="0" autoPict="0" macro="[0]!OpBtn_Click">
                <anchor moveWithCells="1">
                  <from>
                    <xdr:col>16</xdr:col>
                    <xdr:colOff>15240</xdr:colOff>
                    <xdr:row>30</xdr:row>
                    <xdr:rowOff>198120</xdr:rowOff>
                  </from>
                  <to>
                    <xdr:col>17</xdr:col>
                    <xdr:colOff>114300</xdr:colOff>
                    <xdr:row>32</xdr:row>
                    <xdr:rowOff>38100</xdr:rowOff>
                  </to>
                </anchor>
              </controlPr>
            </control>
          </mc:Choice>
        </mc:AlternateContent>
        <mc:AlternateContent xmlns:mc="http://schemas.openxmlformats.org/markup-compatibility/2006">
          <mc:Choice Requires="x14">
            <control shapeId="159818" r:id="rId33" name="Option Button 29">
              <controlPr defaultSize="0" autoFill="0" autoLine="0" autoPict="0" macro="[0]!OpBtn_Click">
                <anchor moveWithCells="1">
                  <from>
                    <xdr:col>16</xdr:col>
                    <xdr:colOff>15240</xdr:colOff>
                    <xdr:row>31</xdr:row>
                    <xdr:rowOff>190500</xdr:rowOff>
                  </from>
                  <to>
                    <xdr:col>17</xdr:col>
                    <xdr:colOff>114300</xdr:colOff>
                    <xdr:row>33</xdr:row>
                    <xdr:rowOff>30480</xdr:rowOff>
                  </to>
                </anchor>
              </controlPr>
            </control>
          </mc:Choice>
        </mc:AlternateContent>
        <mc:AlternateContent xmlns:mc="http://schemas.openxmlformats.org/markup-compatibility/2006">
          <mc:Choice Requires="x14">
            <control shapeId="159819" r:id="rId34" name="Option Button 30">
              <controlPr defaultSize="0" autoFill="0" autoLine="0" autoPict="0" macro="[0]!OpBtn_Click">
                <anchor moveWithCells="1">
                  <from>
                    <xdr:col>16</xdr:col>
                    <xdr:colOff>15240</xdr:colOff>
                    <xdr:row>32</xdr:row>
                    <xdr:rowOff>190500</xdr:rowOff>
                  </from>
                  <to>
                    <xdr:col>17</xdr:col>
                    <xdr:colOff>114300</xdr:colOff>
                    <xdr:row>34</xdr:row>
                    <xdr:rowOff>30480</xdr:rowOff>
                  </to>
                </anchor>
              </controlPr>
            </control>
          </mc:Choice>
        </mc:AlternateContent>
        <mc:AlternateContent xmlns:mc="http://schemas.openxmlformats.org/markup-compatibility/2006">
          <mc:Choice Requires="x14">
            <control shapeId="159820" r:id="rId35" name="Option Button 31">
              <controlPr defaultSize="0" autoFill="0" autoLine="0" autoPict="0" macro="[0]!OpBtn_Click">
                <anchor moveWithCells="1">
                  <from>
                    <xdr:col>16</xdr:col>
                    <xdr:colOff>15240</xdr:colOff>
                    <xdr:row>33</xdr:row>
                    <xdr:rowOff>190500</xdr:rowOff>
                  </from>
                  <to>
                    <xdr:col>17</xdr:col>
                    <xdr:colOff>114300</xdr:colOff>
                    <xdr:row>35</xdr:row>
                    <xdr:rowOff>30480</xdr:rowOff>
                  </to>
                </anchor>
              </controlPr>
            </control>
          </mc:Choice>
        </mc:AlternateContent>
        <mc:AlternateContent xmlns:mc="http://schemas.openxmlformats.org/markup-compatibility/2006">
          <mc:Choice Requires="x14">
            <control shapeId="159946" r:id="rId36" name="Button 202">
              <controlPr defaultSize="0" autoFill="0" autoPict="0" macro="[0]!Clear_DayDetail">
                <anchor moveWithCells="1" sizeWithCells="1">
                  <from>
                    <xdr:col>20</xdr:col>
                    <xdr:colOff>640080</xdr:colOff>
                    <xdr:row>17</xdr:row>
                    <xdr:rowOff>91440</xdr:rowOff>
                  </from>
                  <to>
                    <xdr:col>22</xdr:col>
                    <xdr:colOff>106680</xdr:colOff>
                    <xdr:row>19</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7" id="{B4223F69-3B7E-4C4B-865A-B2B452261C97}">
            <x14:iconSet iconSet="3Symbols2" showValue="0" custom="1">
              <x14:cfvo type="percent">
                <xm:f>0</xm:f>
              </x14:cfvo>
              <x14:cfvo type="num">
                <xm:f>0</xm:f>
              </x14:cfvo>
              <x14:cfvo type="num">
                <xm:f>1</xm:f>
              </x14:cfvo>
              <x14:cfIcon iconSet="3Signs" iconId="1"/>
              <x14:cfIcon iconSet="4RedToBlack" iconId="1"/>
              <x14:cfIcon iconSet="3Symbols" iconId="2"/>
            </x14:iconSet>
          </x14:cfRule>
          <xm:sqref>G4:G14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MonthVal" prompt="Select the month that represents this sheet">
          <x14:formula1>
            <xm:f>_controls!$B$21:$B$32</xm:f>
          </x14:formula1>
          <xm:sqref>F1</xm:sqref>
        </x14:dataValidation>
        <x14:dataValidation type="list" allowBlank="1" showErrorMessage="1" promptTitle="ExpenseType" prompt="Au = &quot;Automatic&quot;. Ma =&quot;Manual&quot;. Select &quot;Au&quot; if this expense goes out automatically, &quot;Ma&quot; if you initate payment monthly yourself.">
          <x14:formula1>
            <xm:f>_controls!$D$21:$D$22</xm:f>
          </x14:formula1>
          <xm:sqref>B4:B14</xm:sqref>
        </x14:dataValidation>
        <x14:dataValidation type="list" allowBlank="1" showInputMessage="1" showErrorMessage="1">
          <x14:formula1>
            <xm:f>_controls!$E$21:$E$23</xm:f>
          </x14:formula1>
          <xm:sqref>G4:G14</xm:sqref>
        </x14:dataValidation>
        <x14:dataValidation type="list" allowBlank="1" showInputMessage="1" showErrorMessage="1">
          <x14:formula1>
            <xm:f>_controls!$F$21:$F$38</xm:f>
          </x14:formula1>
          <xm:sqref>P5:P35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2:F8"/>
  <sheetViews>
    <sheetView workbookViewId="0">
      <selection activeCell="A24" sqref="A24"/>
    </sheetView>
  </sheetViews>
  <sheetFormatPr defaultColWidth="8.796875" defaultRowHeight="17.399999999999999"/>
  <cols>
    <col min="2" max="2" width="12.296875" customWidth="1"/>
    <col min="3" max="3" width="26" customWidth="1"/>
    <col min="4" max="4" width="8.796875" style="1"/>
  </cols>
  <sheetData>
    <row r="2" spans="2:6" s="16" customFormat="1" ht="25.2">
      <c r="B2" s="18" t="s">
        <v>12</v>
      </c>
      <c r="D2" s="17"/>
    </row>
    <row r="3" spans="2:6">
      <c r="E3" s="1"/>
    </row>
    <row r="4" spans="2:6">
      <c r="B4" s="21" t="s">
        <v>11</v>
      </c>
      <c r="C4" t="s">
        <v>7</v>
      </c>
      <c r="D4" s="13">
        <v>100</v>
      </c>
    </row>
    <row r="5" spans="2:6">
      <c r="B5" s="22" t="s">
        <v>15</v>
      </c>
      <c r="C5" s="19" t="s">
        <v>8</v>
      </c>
      <c r="D5" s="20">
        <v>22</v>
      </c>
    </row>
    <row r="6" spans="2:6">
      <c r="B6" s="23" t="s">
        <v>16</v>
      </c>
      <c r="C6" t="s">
        <v>9</v>
      </c>
      <c r="D6" s="13">
        <v>35</v>
      </c>
      <c r="F6" s="1"/>
    </row>
    <row r="7" spans="2:6">
      <c r="B7" s="9" t="s">
        <v>10</v>
      </c>
      <c r="C7" t="s">
        <v>13</v>
      </c>
      <c r="D7" s="1" t="s">
        <v>10</v>
      </c>
    </row>
    <row r="8" spans="2:6">
      <c r="B8" s="21" t="s">
        <v>17</v>
      </c>
      <c r="C8" t="s">
        <v>14</v>
      </c>
      <c r="D8" s="24">
        <v>45</v>
      </c>
    </row>
  </sheetData>
  <phoneticPr fontId="14" type="noConversion"/>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Intro</vt:lpstr>
      <vt:lpstr>_controls</vt:lpstr>
      <vt:lpstr>Base</vt:lpstr>
      <vt:lpstr>Annual</vt:lpstr>
      <vt:lpstr>BufferModel</vt:lpstr>
      <vt:lpstr>CurrSelectedDay</vt:lpstr>
      <vt:lpstr>DailyExpDate</vt:lpstr>
      <vt:lpstr>DailyExpHeader</vt:lpstr>
      <vt:lpstr>data1Header</vt:lpstr>
      <vt:lpstr>data2Header</vt:lpstr>
      <vt:lpstr>DateHeader</vt:lpstr>
      <vt:lpstr>DayChartHeader</vt:lpstr>
      <vt:lpstr>MoneyBuffer</vt:lpstr>
      <vt:lpstr>MoneyModel</vt:lpstr>
      <vt:lpstr>MonthVal</vt:lpstr>
      <vt:lpstr>NumDays</vt:lpstr>
      <vt:lpstr>SubmitButtonMsg</vt:lpstr>
      <vt:lpstr>YearVal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Mindy Jang;Meehyun Jang</dc:creator>
  <cp:lastModifiedBy>Meehyun Jang</cp:lastModifiedBy>
  <dcterms:created xsi:type="dcterms:W3CDTF">2011-12-06T20:16:00Z</dcterms:created>
  <dcterms:modified xsi:type="dcterms:W3CDTF">2017-11-21T01:21:26Z</dcterms:modified>
</cp:coreProperties>
</file>